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Summary" sheetId="2" state="visible" r:id="rId4"/>
  </sheets>
  <definedNames>
    <definedName function="false" hidden="true" localSheetId="0" name="_xlnm._FilterDatabase" vbProcedure="false">'Sales Data'!$A$1:$I$201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<sst xmlns="http://schemas.openxmlformats.org/spreadsheetml/2006/main" count="829" uniqueCount="231">
  <si>
    <t xml:space="preserve">Order ID</t>
  </si>
  <si>
    <t xml:space="preserve">Date</t>
  </si>
  <si>
    <t xml:space="preserve">Region</t>
  </si>
  <si>
    <t xml:space="preserve">Sales Rep</t>
  </si>
  <si>
    <t xml:space="preserve">Product</t>
  </si>
  <si>
    <t xml:space="preserve">Quantity</t>
  </si>
  <si>
    <t xml:space="preserve">Unit Price ($)</t>
  </si>
  <si>
    <t xml:space="preserve">Discount (%)</t>
  </si>
  <si>
    <t xml:space="preserve">Total Sales ($)</t>
  </si>
  <si>
    <t xml:space="preserve">ORD-1001</t>
  </si>
  <si>
    <t xml:space="preserve">East</t>
  </si>
  <si>
    <t xml:space="preserve">Priya Singh</t>
  </si>
  <si>
    <t xml:space="preserve">Smartphone</t>
  </si>
  <si>
    <t xml:space="preserve">ORD-1002</t>
  </si>
  <si>
    <t xml:space="preserve">North</t>
  </si>
  <si>
    <t xml:space="preserve">Aarav Sharma</t>
  </si>
  <si>
    <t xml:space="preserve">ORD-1003</t>
  </si>
  <si>
    <t xml:space="preserve">West</t>
  </si>
  <si>
    <t xml:space="preserve">Laptop</t>
  </si>
  <si>
    <t xml:space="preserve">ORD-1004</t>
  </si>
  <si>
    <t xml:space="preserve">Rohan Verma</t>
  </si>
  <si>
    <t xml:space="preserve">Tablet</t>
  </si>
  <si>
    <t xml:space="preserve">ORD-1005</t>
  </si>
  <si>
    <t xml:space="preserve">ORD-1006</t>
  </si>
  <si>
    <t xml:space="preserve">Vikram Rao</t>
  </si>
  <si>
    <t xml:space="preserve">Monitor</t>
  </si>
  <si>
    <t xml:space="preserve">ORD-1007</t>
  </si>
  <si>
    <t xml:space="preserve">ORD-1008</t>
  </si>
  <si>
    <t xml:space="preserve">Headphones</t>
  </si>
  <si>
    <t xml:space="preserve">ORD-1009</t>
  </si>
  <si>
    <t xml:space="preserve">Keyboard</t>
  </si>
  <si>
    <t xml:space="preserve">ORD-1010</t>
  </si>
  <si>
    <t xml:space="preserve">South</t>
  </si>
  <si>
    <t xml:space="preserve">Neha Gupta</t>
  </si>
  <si>
    <t xml:space="preserve">ORD-1011</t>
  </si>
  <si>
    <t xml:space="preserve">ORD-1012</t>
  </si>
  <si>
    <t xml:space="preserve">ORD-1013</t>
  </si>
  <si>
    <t xml:space="preserve">Mouse</t>
  </si>
  <si>
    <t xml:space="preserve">ORD-1014</t>
  </si>
  <si>
    <t xml:space="preserve">ORD-1015</t>
  </si>
  <si>
    <t xml:space="preserve">Webcam</t>
  </si>
  <si>
    <t xml:space="preserve">ORD-1016</t>
  </si>
  <si>
    <t xml:space="preserve">ORD-1017</t>
  </si>
  <si>
    <t xml:space="preserve">Ananya Iyer</t>
  </si>
  <si>
    <t xml:space="preserve">ORD-1018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</si>
  <si>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</si>
  <si>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</si>
  <si>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</si>
  <si>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</si>
  <si>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</si>
  <si>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</si>
  <si>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</si>
  <si>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</si>
  <si>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</si>
  <si>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</si>
  <si>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</si>
  <si>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</si>
  <si>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</si>
  <si>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</si>
  <si>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</si>
  <si>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</si>
  <si>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</si>
  <si>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</si>
  <si>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</si>
  <si>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</si>
  <si>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</si>
  <si>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</si>
  <si>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</si>
  <si>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</si>
  <si>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</si>
  <si>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</si>
  <si>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</si>
  <si>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</si>
  <si>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</si>
  <si>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</si>
  <si>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</si>
  <si>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</si>
  <si>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</si>
  <si>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</si>
  <si>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</si>
  <si>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</si>
  <si>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</si>
  <si>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</si>
  <si>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</si>
  <si>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</si>
  <si>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</si>
  <si>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</si>
  <si>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ORD-1061</t>
  </si>
  <si>
    <t xml:space="preserve">ORD-1062</t>
  </si>
  <si>
    <t xml:space="preserve">ORD-1063</t>
  </si>
  <si>
    <t xml:space="preserve">ORD-1064</t>
  </si>
  <si>
    <t xml:space="preserve">ORD-1065</t>
  </si>
  <si>
    <t xml:space="preserve">ORD-1066</t>
  </si>
  <si>
    <t xml:space="preserve">ORD-1067</t>
  </si>
  <si>
    <t xml:space="preserve">ORD-1068</t>
  </si>
  <si>
    <t xml:space="preserve">ORD-1069</t>
  </si>
  <si>
    <t xml:space="preserve">ORD-1070</t>
  </si>
  <si>
    <t xml:space="preserve">ORD-1071</t>
  </si>
  <si>
    <t xml:space="preserve">ORD-1072</t>
  </si>
  <si>
    <t xml:space="preserve">ORD-1073</t>
  </si>
  <si>
    <t xml:space="preserve">ORD-1074</t>
  </si>
  <si>
    <t xml:space="preserve">ORD-1075</t>
  </si>
  <si>
    <t xml:space="preserve">ORD-1076</t>
  </si>
  <si>
    <t xml:space="preserve">ORD-1077</t>
  </si>
  <si>
    <t xml:space="preserve">ORD-1078</t>
  </si>
  <si>
    <t xml:space="preserve">ORD-1079</t>
  </si>
  <si>
    <t xml:space="preserve">ORD-1080</t>
  </si>
  <si>
    <t xml:space="preserve">ORD-1081</t>
  </si>
  <si>
    <t xml:space="preserve">ORD-1082</t>
  </si>
  <si>
    <t xml:space="preserve">ORD-1083</t>
  </si>
  <si>
    <t xml:space="preserve">ORD-1084</t>
  </si>
  <si>
    <t xml:space="preserve">ORD-1085</t>
  </si>
  <si>
    <t xml:space="preserve">ORD-1086</t>
  </si>
  <si>
    <t xml:space="preserve">ORD-1087</t>
  </si>
  <si>
    <t xml:space="preserve">ORD-1088</t>
  </si>
  <si>
    <t xml:space="preserve">ORD-1089</t>
  </si>
  <si>
    <t xml:space="preserve">ORD-1090</t>
  </si>
  <si>
    <t xml:space="preserve">ORD-1091</t>
  </si>
  <si>
    <t xml:space="preserve">ORD-1092</t>
  </si>
  <si>
    <t xml:space="preserve">ORD-1093</t>
  </si>
  <si>
    <t xml:space="preserve">ORD-1094</t>
  </si>
  <si>
    <t xml:space="preserve">ORD-1095</t>
  </si>
  <si>
    <t xml:space="preserve">ORD-1096</t>
  </si>
  <si>
    <t xml:space="preserve">ORD-1097</t>
  </si>
  <si>
    <t xml:space="preserve">ORD-1098</t>
  </si>
  <si>
    <t xml:space="preserve">ORD-1099</t>
  </si>
  <si>
    <t xml:space="preserve">ORD-1100</t>
  </si>
  <si>
    <t xml:space="preserve">ORD-1101</t>
  </si>
  <si>
    <t xml:space="preserve">ORD-1102</t>
  </si>
  <si>
    <t xml:space="preserve">ORD-1103</t>
  </si>
  <si>
    <t xml:space="preserve">ORD-1104</t>
  </si>
  <si>
    <t xml:space="preserve">ORD-1105</t>
  </si>
  <si>
    <t xml:space="preserve">ORD-1106</t>
  </si>
  <si>
    <t xml:space="preserve">ORD-1107</t>
  </si>
  <si>
    <t xml:space="preserve">ORD-1108</t>
  </si>
  <si>
    <t xml:space="preserve">ORD-1109</t>
  </si>
  <si>
    <t xml:space="preserve">ORD-1110</t>
  </si>
  <si>
    <t xml:space="preserve">ORD-1111</t>
  </si>
  <si>
    <t xml:space="preserve">ORD-1112</t>
  </si>
  <si>
    <t xml:space="preserve">ORD-1113</t>
  </si>
  <si>
    <t xml:space="preserve">ORD-1114</t>
  </si>
  <si>
    <t xml:space="preserve">ORD-1115</t>
  </si>
  <si>
    <t xml:space="preserve">ORD-1116</t>
  </si>
  <si>
    <t xml:space="preserve">ORD-1117</t>
  </si>
  <si>
    <t xml:space="preserve">ORD-1118</t>
  </si>
  <si>
    <t xml:space="preserve">ORD-1119</t>
  </si>
  <si>
    <t xml:space="preserve">ORD-1120</t>
  </si>
  <si>
    <t xml:space="preserve">ORD-1121</t>
  </si>
  <si>
    <t xml:space="preserve">ORD-1122</t>
  </si>
  <si>
    <t xml:space="preserve">ORD-1123</t>
  </si>
  <si>
    <t xml:space="preserve">ORD-1124</t>
  </si>
  <si>
    <t xml:space="preserve">ORD-1125</t>
  </si>
  <si>
    <t xml:space="preserve">ORD-1126</t>
  </si>
  <si>
    <t xml:space="preserve">ORD-1127</t>
  </si>
  <si>
    <t xml:space="preserve">ORD-1128</t>
  </si>
  <si>
    <t xml:space="preserve">ORD-1129</t>
  </si>
  <si>
    <t xml:space="preserve">ORD-1130</t>
  </si>
  <si>
    <t xml:space="preserve">ORD-1131</t>
  </si>
  <si>
    <t xml:space="preserve">ORD-1132</t>
  </si>
  <si>
    <t xml:space="preserve">ORD-1133</t>
  </si>
  <si>
    <t xml:space="preserve">ORD-1134</t>
  </si>
  <si>
    <t xml:space="preserve">ORD-1135</t>
  </si>
  <si>
    <t xml:space="preserve">ORD-1136</t>
  </si>
  <si>
    <t xml:space="preserve">ORD-1137</t>
  </si>
  <si>
    <t xml:space="preserve">ORD-1138</t>
  </si>
  <si>
    <t xml:space="preserve">ORD-1139</t>
  </si>
  <si>
    <t xml:space="preserve">ORD-1140</t>
  </si>
  <si>
    <t xml:space="preserve">ORD-1141</t>
  </si>
  <si>
    <t xml:space="preserve">ORD-1142</t>
  </si>
  <si>
    <t xml:space="preserve">ORD-1143</t>
  </si>
  <si>
    <t xml:space="preserve">ORD-1144</t>
  </si>
  <si>
    <t xml:space="preserve">ORD-1145</t>
  </si>
  <si>
    <t xml:space="preserve">ORD-1146</t>
  </si>
  <si>
    <t xml:space="preserve">ORD-1147</t>
  </si>
  <si>
    <t xml:space="preserve">ORD-1148</t>
  </si>
  <si>
    <t xml:space="preserve">ORD-1149</t>
  </si>
  <si>
    <t xml:space="preserve">ORD-1150</t>
  </si>
  <si>
    <t xml:space="preserve">ORD-1151</t>
  </si>
  <si>
    <t xml:space="preserve">ORD-1152</t>
  </si>
  <si>
    <t xml:space="preserve">ORD-1153</t>
  </si>
  <si>
    <t xml:space="preserve">ORD-1154</t>
  </si>
  <si>
    <t xml:space="preserve">ORD-1155</t>
  </si>
  <si>
    <t xml:space="preserve">ORD-1156</t>
  </si>
  <si>
    <t xml:space="preserve">ORD-1157</t>
  </si>
  <si>
    <t xml:space="preserve">ORD-1158</t>
  </si>
  <si>
    <t xml:space="preserve">ORD-1159</t>
  </si>
  <si>
    <t xml:space="preserve">ORD-1160</t>
  </si>
  <si>
    <t xml:space="preserve">ORD-1161</t>
  </si>
  <si>
    <t xml:space="preserve">ORD-1162</t>
  </si>
  <si>
    <t xml:space="preserve">ORD-1163</t>
  </si>
  <si>
    <t xml:space="preserve">ORD-1164</t>
  </si>
  <si>
    <t xml:space="preserve">ORD-1165</t>
  </si>
  <si>
    <t xml:space="preserve">ORD-1166</t>
  </si>
  <si>
    <t xml:space="preserve">ORD-1167</t>
  </si>
  <si>
    <t xml:space="preserve">ORD-1168</t>
  </si>
  <si>
    <t xml:space="preserve">ORD-1169</t>
  </si>
  <si>
    <t xml:space="preserve">ORD-1170</t>
  </si>
  <si>
    <t xml:space="preserve">ORD-1171</t>
  </si>
  <si>
    <t xml:space="preserve">ORD-1172</t>
  </si>
  <si>
    <t xml:space="preserve">ORD-1173</t>
  </si>
  <si>
    <t xml:space="preserve">ORD-1174</t>
  </si>
  <si>
    <t xml:space="preserve">ORD-1175</t>
  </si>
  <si>
    <t xml:space="preserve">ORD-1176</t>
  </si>
  <si>
    <t xml:space="preserve">ORD-1177</t>
  </si>
  <si>
    <t xml:space="preserve">ORD-1178</t>
  </si>
  <si>
    <t xml:space="preserve">ORD-1179</t>
  </si>
  <si>
    <t xml:space="preserve">ORD-1180</t>
  </si>
  <si>
    <t xml:space="preserve">ORD-1181</t>
  </si>
  <si>
    <t xml:space="preserve">ORD-1182</t>
  </si>
  <si>
    <t xml:space="preserve">ORD-1183</t>
  </si>
  <si>
    <t xml:space="preserve">ORD-1184</t>
  </si>
  <si>
    <t xml:space="preserve">ORD-1185</t>
  </si>
  <si>
    <t xml:space="preserve">ORD-1186</t>
  </si>
  <si>
    <t xml:space="preserve">ORD-1187</t>
  </si>
  <si>
    <t xml:space="preserve">ORD-1188</t>
  </si>
  <si>
    <t xml:space="preserve">ORD-1189</t>
  </si>
  <si>
    <t xml:space="preserve">ORD-1190</t>
  </si>
  <si>
    <t xml:space="preserve">ORD-1191</t>
  </si>
  <si>
    <t xml:space="preserve">ORD-1192</t>
  </si>
  <si>
    <t xml:space="preserve">ORD-1193</t>
  </si>
  <si>
    <t xml:space="preserve">ORD-1194</t>
  </si>
  <si>
    <t xml:space="preserve">ORD-1195</t>
  </si>
  <si>
    <t xml:space="preserve">ORD-1196</t>
  </si>
  <si>
    <t xml:space="preserve">ORD-1197</t>
  </si>
  <si>
    <t xml:space="preserve">ORD-1198</t>
  </si>
  <si>
    <t xml:space="preserve">ORD-1199</t>
  </si>
  <si>
    <t xml:space="preserve">ORD-1200</t>
  </si>
  <si>
    <t xml:space="preserve">Orders</t>
  </si>
  <si>
    <t xml:space="preserve">Note: data is randomly generated (seed 42) for demonstration.</t>
  </si>
  <si>
    <t xml:space="preserve">Total</t>
  </si>
  <si>
    <t xml:space="preserve">Units Sold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</si>
</sst>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0%"/>
    <numFmt numFmtId="168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v>46035</v>
      </c>
      <c r="C2" s="2" t="s">
        <v>10</v>
      </c>
      <c r="D2" s="2" t="s">
        <v>11</v>
      </c>
      <c r="E2" s="2" t="s">
        <v>12</v>
      </c>
      <c r="F2" s="2" t="n">
        <v>8</v>
      </c>
      <c r="G2" s="4" t="n">
        <v>411.63</v>
      </c>
      <c r="H2" s="5" t="n">
        <v>0</v>
      </c>
      <c r="I2" s="4" t="n">
        <f aca="false">F2*G2*(1-H2)</f>
        <v>3293.04</v>
      </c>
    </row>
    <row r="3" customFormat="false" ht="15" hidden="false" customHeight="false" outlineLevel="0" collapsed="false">
      <c r="A3" s="2" t="s">
        <v>13</v>
      </c>
      <c r="B3" s="3" t="n">
        <v>46239</v>
      </c>
      <c r="C3" s="2" t="s">
        <v>14</v>
      </c>
      <c r="D3" s="2" t="s">
        <v>15</v>
      </c>
      <c r="E3" s="2" t="s">
        <v>12</v>
      </c>
      <c r="F3" s="2" t="n">
        <v>3</v>
      </c>
      <c r="G3" s="4" t="n">
        <v>474.91</v>
      </c>
      <c r="H3" s="5" t="n">
        <v>0.15</v>
      </c>
      <c r="I3" s="4" t="n">
        <f aca="false">F3*G3*(1-H3)</f>
        <v>1211.0205</v>
      </c>
    </row>
    <row r="4" customFormat="false" ht="15" hidden="false" customHeight="false" outlineLevel="0" collapsed="false">
      <c r="A4" s="2" t="s">
        <v>16</v>
      </c>
      <c r="B4" s="3" t="n">
        <v>46124</v>
      </c>
      <c r="C4" s="2" t="s">
        <v>17</v>
      </c>
      <c r="D4" s="2" t="s">
        <v>11</v>
      </c>
      <c r="E4" s="2" t="s">
        <v>18</v>
      </c>
      <c r="F4" s="2" t="n">
        <v>15</v>
      </c>
      <c r="G4" s="4" t="n">
        <v>1212.49</v>
      </c>
      <c r="H4" s="5" t="n">
        <v>0</v>
      </c>
      <c r="I4" s="4" t="n">
        <f aca="false">F4*G4*(1-H4)</f>
        <v>18187.35</v>
      </c>
    </row>
    <row r="5" customFormat="false" ht="15" hidden="false" customHeight="false" outlineLevel="0" collapsed="false">
      <c r="A5" s="2" t="s">
        <v>19</v>
      </c>
      <c r="B5" s="3" t="n">
        <v>46239</v>
      </c>
      <c r="C5" s="2" t="s">
        <v>10</v>
      </c>
      <c r="D5" s="2" t="s">
        <v>20</v>
      </c>
      <c r="E5" s="2" t="s">
        <v>21</v>
      </c>
      <c r="F5" s="2" t="n">
        <v>5</v>
      </c>
      <c r="G5" s="4" t="n">
        <v>307.66</v>
      </c>
      <c r="H5" s="5" t="n">
        <v>0.05</v>
      </c>
      <c r="I5" s="4" t="n">
        <f aca="false">F5*G5*(1-H5)</f>
        <v>1461.385</v>
      </c>
    </row>
    <row r="6" customFormat="false" ht="15" hidden="false" customHeight="false" outlineLevel="0" collapsed="false">
      <c r="A6" s="2" t="s">
        <v>22</v>
      </c>
      <c r="B6" s="3" t="n">
        <v>46070</v>
      </c>
      <c r="C6" s="2" t="s">
        <v>17</v>
      </c>
      <c r="D6" s="2" t="s">
        <v>15</v>
      </c>
      <c r="E6" s="2" t="s">
        <v>12</v>
      </c>
      <c r="F6" s="2" t="n">
        <v>12</v>
      </c>
      <c r="G6" s="4" t="n">
        <v>978</v>
      </c>
      <c r="H6" s="5" t="n">
        <v>0.15</v>
      </c>
      <c r="I6" s="4" t="n">
        <f aca="false">F6*G6*(1-H6)</f>
        <v>9975.6</v>
      </c>
    </row>
    <row r="7" customFormat="false" ht="15" hidden="false" customHeight="false" outlineLevel="0" collapsed="false">
      <c r="A7" s="2" t="s">
        <v>23</v>
      </c>
      <c r="B7" s="3" t="n">
        <v>46045</v>
      </c>
      <c r="C7" s="2" t="s">
        <v>17</v>
      </c>
      <c r="D7" s="2" t="s">
        <v>24</v>
      </c>
      <c r="E7" s="2" t="s">
        <v>25</v>
      </c>
      <c r="F7" s="2" t="n">
        <v>4</v>
      </c>
      <c r="G7" s="4" t="n">
        <v>587.1</v>
      </c>
      <c r="H7" s="5" t="n">
        <v>0.1</v>
      </c>
      <c r="I7" s="4" t="n">
        <f aca="false">F7*G7*(1-H7)</f>
        <v>2113.56</v>
      </c>
    </row>
    <row r="8" customFormat="false" ht="15" hidden="false" customHeight="false" outlineLevel="0" collapsed="false">
      <c r="A8" s="2" t="s">
        <v>26</v>
      </c>
      <c r="B8" s="3" t="n">
        <v>46173</v>
      </c>
      <c r="C8" s="2" t="s">
        <v>10</v>
      </c>
      <c r="D8" s="2" t="s">
        <v>24</v>
      </c>
      <c r="E8" s="2" t="s">
        <v>12</v>
      </c>
      <c r="F8" s="2" t="n">
        <v>7</v>
      </c>
      <c r="G8" s="4" t="n">
        <v>863.66</v>
      </c>
      <c r="H8" s="5" t="n">
        <v>0</v>
      </c>
      <c r="I8" s="4" t="n">
        <f aca="false">F8*G8*(1-H8)</f>
        <v>6045.62</v>
      </c>
    </row>
    <row r="9" customFormat="false" ht="15" hidden="false" customHeight="false" outlineLevel="0" collapsed="false">
      <c r="A9" s="2" t="s">
        <v>27</v>
      </c>
      <c r="B9" s="3" t="n">
        <v>46171</v>
      </c>
      <c r="C9" s="2" t="s">
        <v>14</v>
      </c>
      <c r="D9" s="2" t="s">
        <v>11</v>
      </c>
      <c r="E9" s="2" t="s">
        <v>28</v>
      </c>
      <c r="F9" s="2" t="n">
        <v>4</v>
      </c>
      <c r="G9" s="4" t="n">
        <v>132.63</v>
      </c>
      <c r="H9" s="5" t="n">
        <v>0.1</v>
      </c>
      <c r="I9" s="4" t="n">
        <f aca="false">F9*G9*(1-H9)</f>
        <v>477.468</v>
      </c>
    </row>
    <row r="10" customFormat="false" ht="15" hidden="false" customHeight="false" outlineLevel="0" collapsed="false">
      <c r="A10" s="2" t="s">
        <v>29</v>
      </c>
      <c r="B10" s="3" t="n">
        <v>46106</v>
      </c>
      <c r="C10" s="2" t="s">
        <v>10</v>
      </c>
      <c r="D10" s="2" t="s">
        <v>20</v>
      </c>
      <c r="E10" s="2" t="s">
        <v>30</v>
      </c>
      <c r="F10" s="2" t="n">
        <v>7</v>
      </c>
      <c r="G10" s="4" t="n">
        <v>107.12</v>
      </c>
      <c r="H10" s="5" t="n">
        <v>0</v>
      </c>
      <c r="I10" s="4" t="n">
        <f aca="false">F10*G10*(1-H10)</f>
        <v>749.84</v>
      </c>
    </row>
    <row r="11" customFormat="false" ht="15" hidden="false" customHeight="false" outlineLevel="0" collapsed="false">
      <c r="A11" s="2" t="s">
        <v>31</v>
      </c>
      <c r="B11" s="3" t="n">
        <v>46148</v>
      </c>
      <c r="C11" s="2" t="s">
        <v>32</v>
      </c>
      <c r="D11" s="2" t="s">
        <v>33</v>
      </c>
      <c r="E11" s="2" t="s">
        <v>21</v>
      </c>
      <c r="F11" s="2" t="n">
        <v>13</v>
      </c>
      <c r="G11" s="4" t="n">
        <v>334.97</v>
      </c>
      <c r="H11" s="5" t="n">
        <v>0.15</v>
      </c>
      <c r="I11" s="4" t="n">
        <f aca="false">F11*G11*(1-H11)</f>
        <v>3701.4185</v>
      </c>
    </row>
    <row r="12" customFormat="false" ht="15" hidden="false" customHeight="false" outlineLevel="0" collapsed="false">
      <c r="A12" s="2" t="s">
        <v>34</v>
      </c>
      <c r="B12" s="3" t="n">
        <v>46189</v>
      </c>
      <c r="C12" s="2" t="s">
        <v>14</v>
      </c>
      <c r="D12" s="2" t="s">
        <v>11</v>
      </c>
      <c r="E12" s="2" t="s">
        <v>28</v>
      </c>
      <c r="F12" s="2" t="n">
        <v>2</v>
      </c>
      <c r="G12" s="4" t="n">
        <v>247.36</v>
      </c>
      <c r="H12" s="5" t="n">
        <v>0.1</v>
      </c>
      <c r="I12" s="4" t="n">
        <f aca="false">F12*G12*(1-H12)</f>
        <v>445.248</v>
      </c>
    </row>
    <row r="13" customFormat="false" ht="15" hidden="false" customHeight="false" outlineLevel="0" collapsed="false">
      <c r="A13" s="2" t="s">
        <v>35</v>
      </c>
      <c r="B13" s="3" t="n">
        <v>46056</v>
      </c>
      <c r="C13" s="2" t="s">
        <v>32</v>
      </c>
      <c r="D13" s="2" t="s">
        <v>24</v>
      </c>
      <c r="E13" s="2" t="s">
        <v>25</v>
      </c>
      <c r="F13" s="2" t="n">
        <v>11</v>
      </c>
      <c r="G13" s="4" t="n">
        <v>222.06</v>
      </c>
      <c r="H13" s="5" t="n">
        <v>0.1</v>
      </c>
      <c r="I13" s="4" t="n">
        <f aca="false">F13*G13*(1-H13)</f>
        <v>2198.394</v>
      </c>
    </row>
    <row r="14" customFormat="false" ht="15" hidden="false" customHeight="false" outlineLevel="0" collapsed="false">
      <c r="A14" s="2" t="s">
        <v>36</v>
      </c>
      <c r="B14" s="3" t="n">
        <v>46257</v>
      </c>
      <c r="C14" s="2" t="s">
        <v>32</v>
      </c>
      <c r="D14" s="2" t="s">
        <v>20</v>
      </c>
      <c r="E14" s="2" t="s">
        <v>37</v>
      </c>
      <c r="F14" s="2" t="n">
        <v>5</v>
      </c>
      <c r="G14" s="4" t="n">
        <v>27.26</v>
      </c>
      <c r="H14" s="5" t="n">
        <v>0.15</v>
      </c>
      <c r="I14" s="4" t="n">
        <f aca="false">F14*G14*(1-H14)</f>
        <v>115.855</v>
      </c>
    </row>
    <row r="15" customFormat="false" ht="15" hidden="false" customHeight="false" outlineLevel="0" collapsed="false">
      <c r="A15" s="2" t="s">
        <v>38</v>
      </c>
      <c r="B15" s="3" t="n">
        <v>46242</v>
      </c>
      <c r="C15" s="2" t="s">
        <v>17</v>
      </c>
      <c r="D15" s="2" t="s">
        <v>20</v>
      </c>
      <c r="E15" s="2" t="s">
        <v>25</v>
      </c>
      <c r="F15" s="2" t="n">
        <v>8</v>
      </c>
      <c r="G15" s="4" t="n">
        <v>598.72</v>
      </c>
      <c r="H15" s="5" t="n">
        <v>0</v>
      </c>
      <c r="I15" s="4" t="n">
        <f aca="false">F15*G15*(1-H15)</f>
        <v>4789.76</v>
      </c>
    </row>
    <row r="16" customFormat="false" ht="15" hidden="false" customHeight="false" outlineLevel="0" collapsed="false">
      <c r="A16" s="2" t="s">
        <v>39</v>
      </c>
      <c r="B16" s="3" t="n">
        <v>46069</v>
      </c>
      <c r="C16" s="2" t="s">
        <v>14</v>
      </c>
      <c r="D16" s="2" t="s">
        <v>15</v>
      </c>
      <c r="E16" s="2" t="s">
        <v>40</v>
      </c>
      <c r="F16" s="2" t="n">
        <v>5</v>
      </c>
      <c r="G16" s="4" t="n">
        <v>103.43</v>
      </c>
      <c r="H16" s="5" t="n">
        <v>0.1</v>
      </c>
      <c r="I16" s="4" t="n">
        <f aca="false">F16*G16*(1-H16)</f>
        <v>465.435</v>
      </c>
    </row>
    <row r="17" customFormat="false" ht="15" hidden="false" customHeight="false" outlineLevel="0" collapsed="false">
      <c r="A17" s="2" t="s">
        <v>41</v>
      </c>
      <c r="B17" s="3" t="n">
        <v>46220</v>
      </c>
      <c r="C17" s="2" t="s">
        <v>17</v>
      </c>
      <c r="D17" s="2" t="s">
        <v>24</v>
      </c>
      <c r="E17" s="2" t="s">
        <v>12</v>
      </c>
      <c r="F17" s="2" t="n">
        <v>15</v>
      </c>
      <c r="G17" s="4" t="n">
        <v>723.29</v>
      </c>
      <c r="H17" s="5" t="n">
        <v>0.15</v>
      </c>
      <c r="I17" s="4" t="n">
        <f aca="false">F17*G17*(1-H17)</f>
        <v>9221.9475</v>
      </c>
    </row>
    <row r="18" customFormat="false" ht="15" hidden="false" customHeight="false" outlineLevel="0" collapsed="false">
      <c r="A18" s="2" t="s">
        <v>42</v>
      </c>
      <c r="B18" s="3" t="n">
        <v>46081</v>
      </c>
      <c r="C18" s="2" t="s">
        <v>10</v>
      </c>
      <c r="D18" s="2" t="s">
        <v>43</v>
      </c>
      <c r="E18" s="2" t="s">
        <v>18</v>
      </c>
      <c r="F18" s="2" t="n">
        <v>11</v>
      </c>
      <c r="G18" s="4" t="n">
        <v>878.09</v>
      </c>
      <c r="H18" s="5" t="n">
        <v>0.1</v>
      </c>
      <c r="I18" s="4" t="n">
        <f aca="false">F18*G18*(1-H18)</f>
        <v>8693.091</v>
      </c>
    </row>
    <row r="19" customFormat="false" ht="15" hidden="false" customHeight="false" outlineLevel="0" collapsed="false">
      <c r="A19" s="2" t="s">
        <v>44</v>
      </c>
      <c r="B19" s="3" t="n">
        <v>46255</v>
      </c>
      <c r="C19" s="2" t="s">
        <v>14</v>
      </c>
      <c r="D19" s="2" t="s">
        <v>43</v>
      </c>
      <c r="E19" s="2" t="s">
        <v>21</v>
      </c>
      <c r="F19" s="2" t="n">
        <v>9</v>
      </c>
      <c r="G19" s="4" t="n">
        <v>685.94</v>
      </c>
      <c r="H19" s="5" t="n">
        <v>0</v>
      </c>
      <c r="I19" s="4" t="n">
        <f aca="false">F19*G19*(1-H19)</f>
        <v>6173.46</v>
      </c>
    </row>
    <row r="20" customFormat="false" ht="15" hidden="false" customHeight="false" outlineLevel="0" collapsed="false">
      <c r="A20" s="2" t="s">
        <v>45</v>
      </c>
      <c r="B20" s="3" t="n">
        <v>46175</v>
      </c>
      <c r="C20" s="2" t="s">
        <v>32</v>
      </c>
      <c r="D20" s="2" t="s">
        <v>11</v>
      </c>
      <c r="E20" s="2" t="s">
        <v>12</v>
      </c>
      <c r="F20" s="2" t="n">
        <v>12</v>
      </c>
      <c r="G20" s="4" t="n">
        <v>910.01</v>
      </c>
      <c r="H20" s="5" t="n">
        <v>0.15</v>
      </c>
      <c r="I20" s="4" t="n">
        <f aca="false">F20*G20*(1-H20)</f>
        <v>9282.102</v>
      </c>
    </row>
    <row r="21" customFormat="false" ht="15" hidden="false" customHeight="false" outlineLevel="0" collapsed="false">
      <c r="A21" s="2" t="s">
        <v>46</v>
      </c>
      <c r="B21" s="3" t="n">
        <v>46188</v>
      </c>
      <c r="C21" s="2" t="s">
        <v>17</v>
      </c>
      <c r="D21" s="2" t="s">
        <v>15</v>
      </c>
      <c r="E21" s="2" t="s">
        <v>18</v>
      </c>
      <c r="F21" s="2" t="n">
        <v>4</v>
      </c>
      <c r="G21" s="4" t="n">
        <v>1450.37</v>
      </c>
      <c r="H21" s="5" t="n">
        <v>0.05</v>
      </c>
      <c r="I21" s="4" t="n">
        <f aca="false">F21*G21*(1-H21)</f>
        <v>5511.406</v>
      </c>
    </row>
    <row r="22" customFormat="false" ht="15" hidden="false" customHeight="false" outlineLevel="0" collapsed="false">
      <c r="A22" s="2" t="s">
        <v>47</v>
      </c>
      <c r="B22" s="3" t="n">
        <v>46052</v>
      </c>
      <c r="C22" s="2" t="s">
        <v>32</v>
      </c>
      <c r="D22" s="2" t="s">
        <v>24</v>
      </c>
      <c r="E22" s="2" t="s">
        <v>28</v>
      </c>
      <c r="F22" s="2" t="n">
        <v>3</v>
      </c>
      <c r="G22" s="4" t="n">
        <v>53.13</v>
      </c>
      <c r="H22" s="5" t="n">
        <v>0.1</v>
      </c>
      <c r="I22" s="4" t="n">
        <f aca="false">F22*G22*(1-H22)</f>
        <v>143.451</v>
      </c>
    </row>
    <row r="23" customFormat="false" ht="15" hidden="false" customHeight="false" outlineLevel="0" collapsed="false">
      <c r="A23" s="2" t="s">
        <v>48</v>
      </c>
      <c r="B23" s="3" t="n">
        <v>46295</v>
      </c>
      <c r="C23" s="2" t="s">
        <v>32</v>
      </c>
      <c r="D23" s="2" t="s">
        <v>11</v>
      </c>
      <c r="E23" s="2" t="s">
        <v>12</v>
      </c>
      <c r="F23" s="2" t="n">
        <v>16</v>
      </c>
      <c r="G23" s="4" t="n">
        <v>1057.48</v>
      </c>
      <c r="H23" s="5" t="n">
        <v>0</v>
      </c>
      <c r="I23" s="4" t="n">
        <f aca="false">F23*G23*(1-H23)</f>
        <v>16919.68</v>
      </c>
    </row>
    <row r="24" customFormat="false" ht="15" hidden="false" customHeight="false" outlineLevel="0" collapsed="false">
      <c r="A24" s="2" t="s">
        <v>49</v>
      </c>
      <c r="B24" s="3" t="n">
        <v>46293</v>
      </c>
      <c r="C24" s="2" t="s">
        <v>17</v>
      </c>
      <c r="D24" s="2" t="s">
        <v>11</v>
      </c>
      <c r="E24" s="2" t="s">
        <v>25</v>
      </c>
      <c r="F24" s="2" t="n">
        <v>18</v>
      </c>
      <c r="G24" s="4" t="n">
        <v>482.53</v>
      </c>
      <c r="H24" s="5" t="n">
        <v>0</v>
      </c>
      <c r="I24" s="4" t="n">
        <f aca="false">F24*G24*(1-H24)</f>
        <v>8685.54</v>
      </c>
    </row>
    <row r="25" customFormat="false" ht="15" hidden="false" customHeight="false" outlineLevel="0" collapsed="false">
      <c r="A25" s="2" t="s">
        <v>50</v>
      </c>
      <c r="B25" s="3" t="n">
        <v>46227</v>
      </c>
      <c r="C25" s="2" t="s">
        <v>10</v>
      </c>
      <c r="D25" s="2" t="s">
        <v>33</v>
      </c>
      <c r="E25" s="2" t="s">
        <v>25</v>
      </c>
      <c r="F25" s="2" t="n">
        <v>17</v>
      </c>
      <c r="G25" s="4" t="n">
        <v>336.71</v>
      </c>
      <c r="H25" s="5" t="n">
        <v>0</v>
      </c>
      <c r="I25" s="4" t="n">
        <f aca="false">F25*G25*(1-H25)</f>
        <v>5724.07</v>
      </c>
    </row>
    <row r="26" customFormat="false" ht="15" hidden="false" customHeight="false" outlineLevel="0" collapsed="false">
      <c r="A26" s="2" t="s">
        <v>51</v>
      </c>
      <c r="B26" s="3" t="n">
        <v>46055</v>
      </c>
      <c r="C26" s="2" t="s">
        <v>10</v>
      </c>
      <c r="D26" s="2" t="s">
        <v>15</v>
      </c>
      <c r="E26" s="2" t="s">
        <v>28</v>
      </c>
      <c r="F26" s="2" t="n">
        <v>19</v>
      </c>
      <c r="G26" s="4" t="n">
        <v>179.56</v>
      </c>
      <c r="H26" s="5" t="n">
        <v>0.15</v>
      </c>
      <c r="I26" s="4" t="n">
        <f aca="false">F26*G26*(1-H26)</f>
        <v>2899.894</v>
      </c>
    </row>
    <row r="27" customFormat="false" ht="15" hidden="false" customHeight="false" outlineLevel="0" collapsed="false">
      <c r="A27" s="2" t="s">
        <v>52</v>
      </c>
      <c r="B27" s="3" t="n">
        <v>46026</v>
      </c>
      <c r="C27" s="2" t="s">
        <v>14</v>
      </c>
      <c r="D27" s="2" t="s">
        <v>43</v>
      </c>
      <c r="E27" s="2" t="s">
        <v>28</v>
      </c>
      <c r="F27" s="2" t="n">
        <v>2</v>
      </c>
      <c r="G27" s="4" t="n">
        <v>91.81</v>
      </c>
      <c r="H27" s="5" t="n">
        <v>0</v>
      </c>
      <c r="I27" s="4" t="n">
        <f aca="false">F27*G27*(1-H27)</f>
        <v>183.62</v>
      </c>
    </row>
    <row r="28" customFormat="false" ht="15" hidden="false" customHeight="false" outlineLevel="0" collapsed="false">
      <c r="A28" s="2" t="s">
        <v>53</v>
      </c>
      <c r="B28" s="3" t="n">
        <v>46059</v>
      </c>
      <c r="C28" s="2" t="s">
        <v>32</v>
      </c>
      <c r="D28" s="2" t="s">
        <v>20</v>
      </c>
      <c r="E28" s="2" t="s">
        <v>30</v>
      </c>
      <c r="F28" s="2" t="n">
        <v>16</v>
      </c>
      <c r="G28" s="4" t="n">
        <v>47.85</v>
      </c>
      <c r="H28" s="5" t="n">
        <v>0</v>
      </c>
      <c r="I28" s="4" t="n">
        <f aca="false">F28*G28*(1-H28)</f>
        <v>765.6</v>
      </c>
    </row>
    <row r="29" customFormat="false" ht="15" hidden="false" customHeight="false" outlineLevel="0" collapsed="false">
      <c r="A29" s="2" t="s">
        <v>54</v>
      </c>
      <c r="B29" s="3" t="n">
        <v>46147</v>
      </c>
      <c r="C29" s="2" t="s">
        <v>17</v>
      </c>
      <c r="D29" s="2" t="s">
        <v>33</v>
      </c>
      <c r="E29" s="2" t="s">
        <v>40</v>
      </c>
      <c r="F29" s="2" t="n">
        <v>7</v>
      </c>
      <c r="G29" s="4" t="n">
        <v>36.79</v>
      </c>
      <c r="H29" s="5" t="n">
        <v>0.1</v>
      </c>
      <c r="I29" s="4" t="n">
        <f aca="false">F29*G29*(1-H29)</f>
        <v>231.777</v>
      </c>
    </row>
    <row r="30" customFormat="false" ht="15" hidden="false" customHeight="false" outlineLevel="0" collapsed="false">
      <c r="A30" s="2" t="s">
        <v>55</v>
      </c>
      <c r="B30" s="3" t="n">
        <v>46239</v>
      </c>
      <c r="C30" s="2" t="s">
        <v>17</v>
      </c>
      <c r="D30" s="2" t="s">
        <v>33</v>
      </c>
      <c r="E30" s="2" t="s">
        <v>30</v>
      </c>
      <c r="F30" s="2" t="n">
        <v>2</v>
      </c>
      <c r="G30" s="4" t="n">
        <v>107.54</v>
      </c>
      <c r="H30" s="5" t="n">
        <v>0</v>
      </c>
      <c r="I30" s="4" t="n">
        <f aca="false">F30*G30*(1-H30)</f>
        <v>215.08</v>
      </c>
    </row>
    <row r="31" customFormat="false" ht="15" hidden="false" customHeight="false" outlineLevel="0" collapsed="false">
      <c r="A31" s="2" t="s">
        <v>56</v>
      </c>
      <c r="B31" s="3" t="n">
        <v>46229</v>
      </c>
      <c r="C31" s="2" t="s">
        <v>10</v>
      </c>
      <c r="D31" s="2" t="s">
        <v>15</v>
      </c>
      <c r="E31" s="2" t="s">
        <v>18</v>
      </c>
      <c r="F31" s="2" t="n">
        <v>8</v>
      </c>
      <c r="G31" s="4" t="n">
        <v>934.11</v>
      </c>
      <c r="H31" s="5" t="n">
        <v>0.15</v>
      </c>
      <c r="I31" s="4" t="n">
        <f aca="false">F31*G31*(1-H31)</f>
        <v>6351.948</v>
      </c>
    </row>
    <row r="32" customFormat="false" ht="15" hidden="false" customHeight="false" outlineLevel="0" collapsed="false">
      <c r="A32" s="2" t="s">
        <v>57</v>
      </c>
      <c r="B32" s="3" t="n">
        <v>46094</v>
      </c>
      <c r="C32" s="2" t="s">
        <v>17</v>
      </c>
      <c r="D32" s="2" t="s">
        <v>11</v>
      </c>
      <c r="E32" s="2" t="s">
        <v>40</v>
      </c>
      <c r="F32" s="2" t="n">
        <v>9</v>
      </c>
      <c r="G32" s="4" t="n">
        <v>82.83</v>
      </c>
      <c r="H32" s="5" t="n">
        <v>0</v>
      </c>
      <c r="I32" s="4" t="n">
        <f aca="false">F32*G32*(1-H32)</f>
        <v>745.47</v>
      </c>
    </row>
    <row r="33" customFormat="false" ht="15" hidden="false" customHeight="false" outlineLevel="0" collapsed="false">
      <c r="A33" s="2" t="s">
        <v>58</v>
      </c>
      <c r="B33" s="3" t="n">
        <v>46073</v>
      </c>
      <c r="C33" s="2" t="s">
        <v>14</v>
      </c>
      <c r="D33" s="2" t="s">
        <v>43</v>
      </c>
      <c r="E33" s="2" t="s">
        <v>40</v>
      </c>
      <c r="F33" s="2" t="n">
        <v>18</v>
      </c>
      <c r="G33" s="4" t="n">
        <v>129.5</v>
      </c>
      <c r="H33" s="5" t="n">
        <v>0</v>
      </c>
      <c r="I33" s="4" t="n">
        <f aca="false">F33*G33*(1-H33)</f>
        <v>2331</v>
      </c>
    </row>
    <row r="34" customFormat="false" ht="15" hidden="false" customHeight="false" outlineLevel="0" collapsed="false">
      <c r="A34" s="2" t="s">
        <v>59</v>
      </c>
      <c r="B34" s="3" t="n">
        <v>46108</v>
      </c>
      <c r="C34" s="2" t="s">
        <v>17</v>
      </c>
      <c r="D34" s="2" t="s">
        <v>33</v>
      </c>
      <c r="E34" s="2" t="s">
        <v>28</v>
      </c>
      <c r="F34" s="2" t="n">
        <v>16</v>
      </c>
      <c r="G34" s="4" t="n">
        <v>87.71</v>
      </c>
      <c r="H34" s="5" t="n">
        <v>0.1</v>
      </c>
      <c r="I34" s="4" t="n">
        <f aca="false">F34*G34*(1-H34)</f>
        <v>1263.024</v>
      </c>
    </row>
    <row r="35" customFormat="false" ht="15" hidden="false" customHeight="false" outlineLevel="0" collapsed="false">
      <c r="A35" s="2" t="s">
        <v>60</v>
      </c>
      <c r="B35" s="3" t="n">
        <v>46107</v>
      </c>
      <c r="C35" s="2" t="s">
        <v>17</v>
      </c>
      <c r="D35" s="2" t="s">
        <v>15</v>
      </c>
      <c r="E35" s="2" t="s">
        <v>18</v>
      </c>
      <c r="F35" s="2" t="n">
        <v>13</v>
      </c>
      <c r="G35" s="4" t="n">
        <v>985.64</v>
      </c>
      <c r="H35" s="5" t="n">
        <v>0.1</v>
      </c>
      <c r="I35" s="4" t="n">
        <f aca="false">F35*G35*(1-H35)</f>
        <v>11531.988</v>
      </c>
    </row>
    <row r="36" customFormat="false" ht="15" hidden="false" customHeight="false" outlineLevel="0" collapsed="false">
      <c r="A36" s="2" t="s">
        <v>61</v>
      </c>
      <c r="B36" s="3" t="n">
        <v>46239</v>
      </c>
      <c r="C36" s="2" t="s">
        <v>17</v>
      </c>
      <c r="D36" s="2" t="s">
        <v>11</v>
      </c>
      <c r="E36" s="2" t="s">
        <v>25</v>
      </c>
      <c r="F36" s="2" t="n">
        <v>7</v>
      </c>
      <c r="G36" s="4" t="n">
        <v>262.42</v>
      </c>
      <c r="H36" s="5" t="n">
        <v>0</v>
      </c>
      <c r="I36" s="4" t="n">
        <f aca="false">F36*G36*(1-H36)</f>
        <v>1836.94</v>
      </c>
    </row>
    <row r="37" customFormat="false" ht="15" hidden="false" customHeight="false" outlineLevel="0" collapsed="false">
      <c r="A37" s="2" t="s">
        <v>62</v>
      </c>
      <c r="B37" s="3" t="n">
        <v>46183</v>
      </c>
      <c r="C37" s="2" t="s">
        <v>14</v>
      </c>
      <c r="D37" s="2" t="s">
        <v>15</v>
      </c>
      <c r="E37" s="2" t="s">
        <v>18</v>
      </c>
      <c r="F37" s="2" t="n">
        <v>19</v>
      </c>
      <c r="G37" s="4" t="n">
        <v>1133.75</v>
      </c>
      <c r="H37" s="5" t="n">
        <v>0.15</v>
      </c>
      <c r="I37" s="4" t="n">
        <f aca="false">F37*G37*(1-H37)</f>
        <v>18310.0625</v>
      </c>
    </row>
    <row r="38" customFormat="false" ht="15" hidden="false" customHeight="false" outlineLevel="0" collapsed="false">
      <c r="A38" s="2" t="s">
        <v>63</v>
      </c>
      <c r="B38" s="3" t="n">
        <v>46052</v>
      </c>
      <c r="C38" s="2" t="s">
        <v>14</v>
      </c>
      <c r="D38" s="2" t="s">
        <v>11</v>
      </c>
      <c r="E38" s="2" t="s">
        <v>21</v>
      </c>
      <c r="F38" s="2" t="n">
        <v>3</v>
      </c>
      <c r="G38" s="4" t="n">
        <v>497.52</v>
      </c>
      <c r="H38" s="5" t="n">
        <v>0</v>
      </c>
      <c r="I38" s="4" t="n">
        <f aca="false">F38*G38*(1-H38)</f>
        <v>1492.56</v>
      </c>
    </row>
    <row r="39" customFormat="false" ht="15" hidden="false" customHeight="false" outlineLevel="0" collapsed="false">
      <c r="A39" s="2" t="s">
        <v>64</v>
      </c>
      <c r="B39" s="3" t="n">
        <v>46084</v>
      </c>
      <c r="C39" s="2" t="s">
        <v>32</v>
      </c>
      <c r="D39" s="2" t="s">
        <v>24</v>
      </c>
      <c r="E39" s="2" t="s">
        <v>37</v>
      </c>
      <c r="F39" s="2" t="n">
        <v>20</v>
      </c>
      <c r="G39" s="4" t="n">
        <v>12.78</v>
      </c>
      <c r="H39" s="5" t="n">
        <v>0</v>
      </c>
      <c r="I39" s="4" t="n">
        <f aca="false">F39*G39*(1-H39)</f>
        <v>255.6</v>
      </c>
    </row>
    <row r="40" customFormat="false" ht="15" hidden="false" customHeight="false" outlineLevel="0" collapsed="false">
      <c r="A40" s="2" t="s">
        <v>65</v>
      </c>
      <c r="B40" s="3" t="n">
        <v>46290</v>
      </c>
      <c r="C40" s="2" t="s">
        <v>10</v>
      </c>
      <c r="D40" s="2" t="s">
        <v>20</v>
      </c>
      <c r="E40" s="2" t="s">
        <v>37</v>
      </c>
      <c r="F40" s="2" t="n">
        <v>7</v>
      </c>
      <c r="G40" s="4" t="n">
        <v>56.88</v>
      </c>
      <c r="H40" s="5" t="n">
        <v>0.05</v>
      </c>
      <c r="I40" s="4" t="n">
        <f aca="false">F40*G40*(1-H40)</f>
        <v>378.252</v>
      </c>
    </row>
    <row r="41" customFormat="false" ht="15" hidden="false" customHeight="false" outlineLevel="0" collapsed="false">
      <c r="A41" s="2" t="s">
        <v>66</v>
      </c>
      <c r="B41" s="3" t="n">
        <v>46158</v>
      </c>
      <c r="C41" s="2" t="s">
        <v>17</v>
      </c>
      <c r="D41" s="2" t="s">
        <v>11</v>
      </c>
      <c r="E41" s="2" t="s">
        <v>28</v>
      </c>
      <c r="F41" s="2" t="n">
        <v>10</v>
      </c>
      <c r="G41" s="4" t="n">
        <v>153.45</v>
      </c>
      <c r="H41" s="5" t="n">
        <v>0</v>
      </c>
      <c r="I41" s="4" t="n">
        <f aca="false">F41*G41*(1-H41)</f>
        <v>1534.5</v>
      </c>
    </row>
    <row r="42" customFormat="false" ht="15" hidden="false" customHeight="false" outlineLevel="0" collapsed="false">
      <c r="A42" s="2" t="s">
        <v>67</v>
      </c>
      <c r="B42" s="3" t="n">
        <v>46257</v>
      </c>
      <c r="C42" s="2" t="s">
        <v>14</v>
      </c>
      <c r="D42" s="2" t="s">
        <v>15</v>
      </c>
      <c r="E42" s="2" t="s">
        <v>18</v>
      </c>
      <c r="F42" s="2" t="n">
        <v>18</v>
      </c>
      <c r="G42" s="4" t="n">
        <v>949.21</v>
      </c>
      <c r="H42" s="5" t="n">
        <v>0.05</v>
      </c>
      <c r="I42" s="4" t="n">
        <f aca="false">F42*G42*(1-H42)</f>
        <v>16231.491</v>
      </c>
    </row>
    <row r="43" customFormat="false" ht="15" hidden="false" customHeight="false" outlineLevel="0" collapsed="false">
      <c r="A43" s="2" t="s">
        <v>68</v>
      </c>
      <c r="B43" s="3" t="n">
        <v>46201</v>
      </c>
      <c r="C43" s="2" t="s">
        <v>14</v>
      </c>
      <c r="D43" s="2" t="s">
        <v>11</v>
      </c>
      <c r="E43" s="2" t="s">
        <v>21</v>
      </c>
      <c r="F43" s="2" t="n">
        <v>12</v>
      </c>
      <c r="G43" s="4" t="n">
        <v>342.49</v>
      </c>
      <c r="H43" s="5" t="n">
        <v>0.1</v>
      </c>
      <c r="I43" s="4" t="n">
        <f aca="false">F43*G43*(1-H43)</f>
        <v>3698.892</v>
      </c>
    </row>
    <row r="44" customFormat="false" ht="15" hidden="false" customHeight="false" outlineLevel="0" collapsed="false">
      <c r="A44" s="2" t="s">
        <v>69</v>
      </c>
      <c r="B44" s="3" t="n">
        <v>46293</v>
      </c>
      <c r="C44" s="2" t="s">
        <v>14</v>
      </c>
      <c r="D44" s="2" t="s">
        <v>43</v>
      </c>
      <c r="E44" s="2" t="s">
        <v>25</v>
      </c>
      <c r="F44" s="2" t="n">
        <v>18</v>
      </c>
      <c r="G44" s="4" t="n">
        <v>263.7</v>
      </c>
      <c r="H44" s="5" t="n">
        <v>0</v>
      </c>
      <c r="I44" s="4" t="n">
        <f aca="false">F44*G44*(1-H44)</f>
        <v>4746.6</v>
      </c>
    </row>
    <row r="45" customFormat="false" ht="15" hidden="false" customHeight="false" outlineLevel="0" collapsed="false">
      <c r="A45" s="2" t="s">
        <v>70</v>
      </c>
      <c r="B45" s="3" t="n">
        <v>46158</v>
      </c>
      <c r="C45" s="2" t="s">
        <v>14</v>
      </c>
      <c r="D45" s="2" t="s">
        <v>15</v>
      </c>
      <c r="E45" s="2" t="s">
        <v>21</v>
      </c>
      <c r="F45" s="2" t="n">
        <v>18</v>
      </c>
      <c r="G45" s="4" t="n">
        <v>277.72</v>
      </c>
      <c r="H45" s="5" t="n">
        <v>0.05</v>
      </c>
      <c r="I45" s="4" t="n">
        <f aca="false">F45*G45*(1-H45)</f>
        <v>4749.012</v>
      </c>
    </row>
    <row r="46" customFormat="false" ht="15" hidden="false" customHeight="false" outlineLevel="0" collapsed="false">
      <c r="A46" s="2" t="s">
        <v>71</v>
      </c>
      <c r="B46" s="3" t="n">
        <v>46198</v>
      </c>
      <c r="C46" s="2" t="s">
        <v>32</v>
      </c>
      <c r="D46" s="2" t="s">
        <v>43</v>
      </c>
      <c r="E46" s="2" t="s">
        <v>28</v>
      </c>
      <c r="F46" s="2" t="n">
        <v>9</v>
      </c>
      <c r="G46" s="4" t="n">
        <v>166.46</v>
      </c>
      <c r="H46" s="5" t="n">
        <v>0.05</v>
      </c>
      <c r="I46" s="4" t="n">
        <f aca="false">F46*G46*(1-H46)</f>
        <v>1423.233</v>
      </c>
    </row>
    <row r="47" customFormat="false" ht="15" hidden="false" customHeight="false" outlineLevel="0" collapsed="false">
      <c r="A47" s="2" t="s">
        <v>72</v>
      </c>
      <c r="B47" s="3" t="n">
        <v>46070</v>
      </c>
      <c r="C47" s="2" t="s">
        <v>17</v>
      </c>
      <c r="D47" s="2" t="s">
        <v>20</v>
      </c>
      <c r="E47" s="2" t="s">
        <v>18</v>
      </c>
      <c r="F47" s="2" t="n">
        <v>2</v>
      </c>
      <c r="G47" s="4" t="n">
        <v>802.48</v>
      </c>
      <c r="H47" s="5" t="n">
        <v>0</v>
      </c>
      <c r="I47" s="4" t="n">
        <f aca="false">F47*G47*(1-H47)</f>
        <v>1604.96</v>
      </c>
    </row>
    <row r="48" customFormat="false" ht="15" hidden="false" customHeight="false" outlineLevel="0" collapsed="false">
      <c r="A48" s="2" t="s">
        <v>73</v>
      </c>
      <c r="B48" s="3" t="n">
        <v>46105</v>
      </c>
      <c r="C48" s="2" t="s">
        <v>17</v>
      </c>
      <c r="D48" s="2" t="s">
        <v>24</v>
      </c>
      <c r="E48" s="2" t="s">
        <v>25</v>
      </c>
      <c r="F48" s="2" t="n">
        <v>14</v>
      </c>
      <c r="G48" s="4" t="n">
        <v>389.24</v>
      </c>
      <c r="H48" s="5" t="n">
        <v>0</v>
      </c>
      <c r="I48" s="4" t="n">
        <f aca="false">F48*G48*(1-H48)</f>
        <v>5449.36</v>
      </c>
    </row>
    <row r="49" customFormat="false" ht="15" hidden="false" customHeight="false" outlineLevel="0" collapsed="false">
      <c r="A49" s="2" t="s">
        <v>74</v>
      </c>
      <c r="B49" s="3" t="n">
        <v>46099</v>
      </c>
      <c r="C49" s="2" t="s">
        <v>14</v>
      </c>
      <c r="D49" s="2" t="s">
        <v>20</v>
      </c>
      <c r="E49" s="2" t="s">
        <v>12</v>
      </c>
      <c r="F49" s="2" t="n">
        <v>19</v>
      </c>
      <c r="G49" s="4" t="n">
        <v>742.02</v>
      </c>
      <c r="H49" s="5" t="n">
        <v>0.1</v>
      </c>
      <c r="I49" s="4" t="n">
        <f aca="false">F49*G49*(1-H49)</f>
        <v>12688.542</v>
      </c>
    </row>
    <row r="50" customFormat="false" ht="15" hidden="false" customHeight="false" outlineLevel="0" collapsed="false">
      <c r="A50" s="2" t="s">
        <v>75</v>
      </c>
      <c r="B50" s="3" t="n">
        <v>46044</v>
      </c>
      <c r="C50" s="2" t="s">
        <v>10</v>
      </c>
      <c r="D50" s="2" t="s">
        <v>20</v>
      </c>
      <c r="E50" s="2" t="s">
        <v>21</v>
      </c>
      <c r="F50" s="2" t="n">
        <v>2</v>
      </c>
      <c r="G50" s="4" t="n">
        <v>649.46</v>
      </c>
      <c r="H50" s="5" t="n">
        <v>0</v>
      </c>
      <c r="I50" s="4" t="n">
        <f aca="false">F50*G50*(1-H50)</f>
        <v>1298.92</v>
      </c>
    </row>
    <row r="51" customFormat="false" ht="15" hidden="false" customHeight="false" outlineLevel="0" collapsed="false">
      <c r="A51" s="2" t="s">
        <v>76</v>
      </c>
      <c r="B51" s="3" t="n">
        <v>46075</v>
      </c>
      <c r="C51" s="2" t="s">
        <v>10</v>
      </c>
      <c r="D51" s="2" t="s">
        <v>24</v>
      </c>
      <c r="E51" s="2" t="s">
        <v>28</v>
      </c>
      <c r="F51" s="2" t="n">
        <v>14</v>
      </c>
      <c r="G51" s="4" t="n">
        <v>292.94</v>
      </c>
      <c r="H51" s="5" t="n">
        <v>0</v>
      </c>
      <c r="I51" s="4" t="n">
        <f aca="false">F51*G51*(1-H51)</f>
        <v>4101.16</v>
      </c>
    </row>
    <row r="52" customFormat="false" ht="15" hidden="false" customHeight="false" outlineLevel="0" collapsed="false">
      <c r="A52" s="2" t="s">
        <v>77</v>
      </c>
      <c r="B52" s="3" t="n">
        <v>46106</v>
      </c>
      <c r="C52" s="2" t="s">
        <v>32</v>
      </c>
      <c r="D52" s="2" t="s">
        <v>33</v>
      </c>
      <c r="E52" s="2" t="s">
        <v>28</v>
      </c>
      <c r="F52" s="2" t="n">
        <v>1</v>
      </c>
      <c r="G52" s="4" t="n">
        <v>78.43</v>
      </c>
      <c r="H52" s="5" t="n">
        <v>0.05</v>
      </c>
      <c r="I52" s="4" t="n">
        <f aca="false">F52*G52*(1-H52)</f>
        <v>74.5085</v>
      </c>
    </row>
    <row r="53" customFormat="false" ht="15" hidden="false" customHeight="false" outlineLevel="0" collapsed="false">
      <c r="A53" s="2" t="s">
        <v>78</v>
      </c>
      <c r="B53" s="3" t="n">
        <v>46150</v>
      </c>
      <c r="C53" s="2" t="s">
        <v>10</v>
      </c>
      <c r="D53" s="2" t="s">
        <v>11</v>
      </c>
      <c r="E53" s="2" t="s">
        <v>37</v>
      </c>
      <c r="F53" s="2" t="n">
        <v>4</v>
      </c>
      <c r="G53" s="4" t="n">
        <v>36.78</v>
      </c>
      <c r="H53" s="5" t="n">
        <v>0</v>
      </c>
      <c r="I53" s="4" t="n">
        <f aca="false">F53*G53*(1-H53)</f>
        <v>147.12</v>
      </c>
    </row>
    <row r="54" customFormat="false" ht="15" hidden="false" customHeight="false" outlineLevel="0" collapsed="false">
      <c r="A54" s="2" t="s">
        <v>79</v>
      </c>
      <c r="B54" s="3" t="n">
        <v>46136</v>
      </c>
      <c r="C54" s="2" t="s">
        <v>32</v>
      </c>
      <c r="D54" s="2" t="s">
        <v>33</v>
      </c>
      <c r="E54" s="2" t="s">
        <v>40</v>
      </c>
      <c r="F54" s="2" t="n">
        <v>12</v>
      </c>
      <c r="G54" s="4" t="n">
        <v>63.15</v>
      </c>
      <c r="H54" s="5" t="n">
        <v>0</v>
      </c>
      <c r="I54" s="4" t="n">
        <f aca="false">F54*G54*(1-H54)</f>
        <v>757.8</v>
      </c>
    </row>
    <row r="55" customFormat="false" ht="15" hidden="false" customHeight="false" outlineLevel="0" collapsed="false">
      <c r="A55" s="2" t="s">
        <v>80</v>
      </c>
      <c r="B55" s="3" t="n">
        <v>46035</v>
      </c>
      <c r="C55" s="2" t="s">
        <v>32</v>
      </c>
      <c r="D55" s="2" t="s">
        <v>33</v>
      </c>
      <c r="E55" s="2" t="s">
        <v>28</v>
      </c>
      <c r="F55" s="2" t="n">
        <v>11</v>
      </c>
      <c r="G55" s="4" t="n">
        <v>105.22</v>
      </c>
      <c r="H55" s="5" t="n">
        <v>0</v>
      </c>
      <c r="I55" s="4" t="n">
        <f aca="false">F55*G55*(1-H55)</f>
        <v>1157.42</v>
      </c>
    </row>
    <row r="56" customFormat="false" ht="15" hidden="false" customHeight="false" outlineLevel="0" collapsed="false">
      <c r="A56" s="2" t="s">
        <v>81</v>
      </c>
      <c r="B56" s="3" t="n">
        <v>46202</v>
      </c>
      <c r="C56" s="2" t="s">
        <v>17</v>
      </c>
      <c r="D56" s="2" t="s">
        <v>43</v>
      </c>
      <c r="E56" s="2" t="s">
        <v>25</v>
      </c>
      <c r="F56" s="2" t="n">
        <v>18</v>
      </c>
      <c r="G56" s="4" t="n">
        <v>278.95</v>
      </c>
      <c r="H56" s="5" t="n">
        <v>0</v>
      </c>
      <c r="I56" s="4" t="n">
        <f aca="false">F56*G56*(1-H56)</f>
        <v>5021.1</v>
      </c>
    </row>
    <row r="57" customFormat="false" ht="15" hidden="false" customHeight="false" outlineLevel="0" collapsed="false">
      <c r="A57" s="2" t="s">
        <v>82</v>
      </c>
      <c r="B57" s="3" t="n">
        <v>46156</v>
      </c>
      <c r="C57" s="2" t="s">
        <v>32</v>
      </c>
      <c r="D57" s="2" t="s">
        <v>24</v>
      </c>
      <c r="E57" s="2" t="s">
        <v>12</v>
      </c>
      <c r="F57" s="2" t="n">
        <v>9</v>
      </c>
      <c r="G57" s="4" t="n">
        <v>330.61</v>
      </c>
      <c r="H57" s="5" t="n">
        <v>0.15</v>
      </c>
      <c r="I57" s="4" t="n">
        <f aca="false">F57*G57*(1-H57)</f>
        <v>2529.1665</v>
      </c>
    </row>
    <row r="58" customFormat="false" ht="15" hidden="false" customHeight="false" outlineLevel="0" collapsed="false">
      <c r="A58" s="2" t="s">
        <v>83</v>
      </c>
      <c r="B58" s="3" t="n">
        <v>46199</v>
      </c>
      <c r="C58" s="2" t="s">
        <v>10</v>
      </c>
      <c r="D58" s="2" t="s">
        <v>33</v>
      </c>
      <c r="E58" s="2" t="s">
        <v>37</v>
      </c>
      <c r="F58" s="2" t="n">
        <v>20</v>
      </c>
      <c r="G58" s="4" t="n">
        <v>78.9</v>
      </c>
      <c r="H58" s="5" t="n">
        <v>0</v>
      </c>
      <c r="I58" s="4" t="n">
        <f aca="false">F58*G58*(1-H58)</f>
        <v>1578</v>
      </c>
    </row>
    <row r="59" customFormat="false" ht="15" hidden="false" customHeight="false" outlineLevel="0" collapsed="false">
      <c r="A59" s="2" t="s">
        <v>84</v>
      </c>
      <c r="B59" s="3" t="n">
        <v>46120</v>
      </c>
      <c r="C59" s="2" t="s">
        <v>10</v>
      </c>
      <c r="D59" s="2" t="s">
        <v>15</v>
      </c>
      <c r="E59" s="2" t="s">
        <v>37</v>
      </c>
      <c r="F59" s="2" t="n">
        <v>14</v>
      </c>
      <c r="G59" s="4" t="n">
        <v>10.12</v>
      </c>
      <c r="H59" s="5" t="n">
        <v>0.15</v>
      </c>
      <c r="I59" s="4" t="n">
        <f aca="false">F59*G59*(1-H59)</f>
        <v>120.428</v>
      </c>
    </row>
    <row r="60" customFormat="false" ht="15" hidden="false" customHeight="false" outlineLevel="0" collapsed="false">
      <c r="A60" s="2" t="s">
        <v>85</v>
      </c>
      <c r="B60" s="3" t="n">
        <v>46209</v>
      </c>
      <c r="C60" s="2" t="s">
        <v>17</v>
      </c>
      <c r="D60" s="2" t="s">
        <v>15</v>
      </c>
      <c r="E60" s="2" t="s">
        <v>28</v>
      </c>
      <c r="F60" s="2" t="n">
        <v>11</v>
      </c>
      <c r="G60" s="4" t="n">
        <v>198.25</v>
      </c>
      <c r="H60" s="5" t="n">
        <v>0</v>
      </c>
      <c r="I60" s="4" t="n">
        <f aca="false">F60*G60*(1-H60)</f>
        <v>2180.75</v>
      </c>
    </row>
    <row r="61" customFormat="false" ht="15" hidden="false" customHeight="false" outlineLevel="0" collapsed="false">
      <c r="A61" s="2" t="s">
        <v>86</v>
      </c>
      <c r="B61" s="3" t="n">
        <v>46282</v>
      </c>
      <c r="C61" s="2" t="s">
        <v>10</v>
      </c>
      <c r="D61" s="2" t="s">
        <v>43</v>
      </c>
      <c r="E61" s="2" t="s">
        <v>25</v>
      </c>
      <c r="F61" s="2" t="n">
        <v>14</v>
      </c>
      <c r="G61" s="4" t="n">
        <v>276.57</v>
      </c>
      <c r="H61" s="5" t="n">
        <v>0.05</v>
      </c>
      <c r="I61" s="4" t="n">
        <f aca="false">F61*G61*(1-H61)</f>
        <v>3678.381</v>
      </c>
    </row>
    <row r="62" customFormat="false" ht="15" hidden="false" customHeight="false" outlineLevel="0" collapsed="false">
      <c r="A62" s="2" t="s">
        <v>87</v>
      </c>
      <c r="B62" s="3" t="n">
        <v>46121</v>
      </c>
      <c r="C62" s="2" t="s">
        <v>17</v>
      </c>
      <c r="D62" s="2" t="s">
        <v>43</v>
      </c>
      <c r="E62" s="2" t="s">
        <v>21</v>
      </c>
      <c r="F62" s="2" t="n">
        <v>13</v>
      </c>
      <c r="G62" s="4" t="n">
        <v>538.66</v>
      </c>
      <c r="H62" s="5" t="n">
        <v>0</v>
      </c>
      <c r="I62" s="4" t="n">
        <f aca="false">F62*G62*(1-H62)</f>
        <v>7002.58</v>
      </c>
    </row>
    <row r="63" customFormat="false" ht="15" hidden="false" customHeight="false" outlineLevel="0" collapsed="false">
      <c r="A63" s="2" t="s">
        <v>88</v>
      </c>
      <c r="B63" s="3" t="n">
        <v>46230</v>
      </c>
      <c r="C63" s="2" t="s">
        <v>14</v>
      </c>
      <c r="D63" s="2" t="s">
        <v>20</v>
      </c>
      <c r="E63" s="2" t="s">
        <v>25</v>
      </c>
      <c r="F63" s="2" t="n">
        <v>10</v>
      </c>
      <c r="G63" s="4" t="n">
        <v>220.89</v>
      </c>
      <c r="H63" s="5" t="n">
        <v>0.15</v>
      </c>
      <c r="I63" s="4" t="n">
        <f aca="false">F63*G63*(1-H63)</f>
        <v>1877.565</v>
      </c>
    </row>
    <row r="64" customFormat="false" ht="15" hidden="false" customHeight="false" outlineLevel="0" collapsed="false">
      <c r="A64" s="2" t="s">
        <v>89</v>
      </c>
      <c r="B64" s="3" t="n">
        <v>46261</v>
      </c>
      <c r="C64" s="2" t="s">
        <v>17</v>
      </c>
      <c r="D64" s="2" t="s">
        <v>33</v>
      </c>
      <c r="E64" s="2" t="s">
        <v>30</v>
      </c>
      <c r="F64" s="2" t="n">
        <v>7</v>
      </c>
      <c r="G64" s="4" t="n">
        <v>86.45</v>
      </c>
      <c r="H64" s="5" t="n">
        <v>0</v>
      </c>
      <c r="I64" s="4" t="n">
        <f aca="false">F64*G64*(1-H64)</f>
        <v>605.15</v>
      </c>
    </row>
    <row r="65" customFormat="false" ht="15" hidden="false" customHeight="false" outlineLevel="0" collapsed="false">
      <c r="A65" s="2" t="s">
        <v>90</v>
      </c>
      <c r="B65" s="3" t="n">
        <v>46168</v>
      </c>
      <c r="C65" s="2" t="s">
        <v>10</v>
      </c>
      <c r="D65" s="2" t="s">
        <v>15</v>
      </c>
      <c r="E65" s="2" t="s">
        <v>12</v>
      </c>
      <c r="F65" s="2" t="n">
        <v>8</v>
      </c>
      <c r="G65" s="4" t="n">
        <v>838.24</v>
      </c>
      <c r="H65" s="5" t="n">
        <v>0</v>
      </c>
      <c r="I65" s="4" t="n">
        <f aca="false">F65*G65*(1-H65)</f>
        <v>6705.92</v>
      </c>
    </row>
    <row r="66" customFormat="false" ht="15" hidden="false" customHeight="false" outlineLevel="0" collapsed="false">
      <c r="A66" s="2" t="s">
        <v>91</v>
      </c>
      <c r="B66" s="3" t="n">
        <v>46098</v>
      </c>
      <c r="C66" s="2" t="s">
        <v>14</v>
      </c>
      <c r="D66" s="2" t="s">
        <v>15</v>
      </c>
      <c r="E66" s="2" t="s">
        <v>28</v>
      </c>
      <c r="F66" s="2" t="n">
        <v>8</v>
      </c>
      <c r="G66" s="4" t="n">
        <v>295.66</v>
      </c>
      <c r="H66" s="5" t="n">
        <v>0.15</v>
      </c>
      <c r="I66" s="4" t="n">
        <f aca="false">F66*G66*(1-H66)</f>
        <v>2010.488</v>
      </c>
    </row>
    <row r="67" customFormat="false" ht="15" hidden="false" customHeight="false" outlineLevel="0" collapsed="false">
      <c r="A67" s="2" t="s">
        <v>92</v>
      </c>
      <c r="B67" s="3" t="n">
        <v>46256</v>
      </c>
      <c r="C67" s="2" t="s">
        <v>17</v>
      </c>
      <c r="D67" s="2" t="s">
        <v>43</v>
      </c>
      <c r="E67" s="2" t="s">
        <v>12</v>
      </c>
      <c r="F67" s="2" t="n">
        <v>19</v>
      </c>
      <c r="G67" s="4" t="n">
        <v>455.55</v>
      </c>
      <c r="H67" s="5" t="n">
        <v>0.1</v>
      </c>
      <c r="I67" s="4" t="n">
        <f aca="false">F67*G67*(1-H67)</f>
        <v>7789.905</v>
      </c>
    </row>
    <row r="68" customFormat="false" ht="15" hidden="false" customHeight="false" outlineLevel="0" collapsed="false">
      <c r="A68" s="2" t="s">
        <v>93</v>
      </c>
      <c r="B68" s="3" t="n">
        <v>46227</v>
      </c>
      <c r="C68" s="2" t="s">
        <v>32</v>
      </c>
      <c r="D68" s="2" t="s">
        <v>11</v>
      </c>
      <c r="E68" s="2" t="s">
        <v>40</v>
      </c>
      <c r="F68" s="2" t="n">
        <v>1</v>
      </c>
      <c r="G68" s="4" t="n">
        <v>136.58</v>
      </c>
      <c r="H68" s="5" t="n">
        <v>0</v>
      </c>
      <c r="I68" s="4" t="n">
        <f aca="false">F68*G68*(1-H68)</f>
        <v>136.58</v>
      </c>
    </row>
    <row r="69" customFormat="false" ht="15" hidden="false" customHeight="false" outlineLevel="0" collapsed="false">
      <c r="A69" s="2" t="s">
        <v>94</v>
      </c>
      <c r="B69" s="3" t="n">
        <v>46135</v>
      </c>
      <c r="C69" s="2" t="s">
        <v>32</v>
      </c>
      <c r="D69" s="2" t="s">
        <v>43</v>
      </c>
      <c r="E69" s="2" t="s">
        <v>37</v>
      </c>
      <c r="F69" s="2" t="n">
        <v>17</v>
      </c>
      <c r="G69" s="4" t="n">
        <v>42.52</v>
      </c>
      <c r="H69" s="5" t="n">
        <v>0.15</v>
      </c>
      <c r="I69" s="4" t="n">
        <f aca="false">F69*G69*(1-H69)</f>
        <v>614.414</v>
      </c>
    </row>
    <row r="70" customFormat="false" ht="15" hidden="false" customHeight="false" outlineLevel="0" collapsed="false">
      <c r="A70" s="2" t="s">
        <v>95</v>
      </c>
      <c r="B70" s="3" t="n">
        <v>46085</v>
      </c>
      <c r="C70" s="2" t="s">
        <v>17</v>
      </c>
      <c r="D70" s="2" t="s">
        <v>11</v>
      </c>
      <c r="E70" s="2" t="s">
        <v>28</v>
      </c>
      <c r="F70" s="2" t="n">
        <v>15</v>
      </c>
      <c r="G70" s="4" t="n">
        <v>210.25</v>
      </c>
      <c r="H70" s="5" t="n">
        <v>0.15</v>
      </c>
      <c r="I70" s="4" t="n">
        <f aca="false">F70*G70*(1-H70)</f>
        <v>2680.6875</v>
      </c>
    </row>
    <row r="71" customFormat="false" ht="15" hidden="false" customHeight="false" outlineLevel="0" collapsed="false">
      <c r="A71" s="2" t="s">
        <v>96</v>
      </c>
      <c r="B71" s="3" t="n">
        <v>46249</v>
      </c>
      <c r="C71" s="2" t="s">
        <v>17</v>
      </c>
      <c r="D71" s="2" t="s">
        <v>24</v>
      </c>
      <c r="E71" s="2" t="s">
        <v>30</v>
      </c>
      <c r="F71" s="2" t="n">
        <v>15</v>
      </c>
      <c r="G71" s="4" t="n">
        <v>136.64</v>
      </c>
      <c r="H71" s="5" t="n">
        <v>0.1</v>
      </c>
      <c r="I71" s="4" t="n">
        <f aca="false">F71*G71*(1-H71)</f>
        <v>1844.64</v>
      </c>
    </row>
    <row r="72" customFormat="false" ht="15" hidden="false" customHeight="false" outlineLevel="0" collapsed="false">
      <c r="A72" s="2" t="s">
        <v>97</v>
      </c>
      <c r="B72" s="3" t="n">
        <v>46155</v>
      </c>
      <c r="C72" s="2" t="s">
        <v>32</v>
      </c>
      <c r="D72" s="2" t="s">
        <v>43</v>
      </c>
      <c r="E72" s="2" t="s">
        <v>40</v>
      </c>
      <c r="F72" s="2" t="n">
        <v>9</v>
      </c>
      <c r="G72" s="4" t="n">
        <v>120.73</v>
      </c>
      <c r="H72" s="5" t="n">
        <v>0.15</v>
      </c>
      <c r="I72" s="4" t="n">
        <f aca="false">F72*G72*(1-H72)</f>
        <v>923.5845</v>
      </c>
    </row>
    <row r="73" customFormat="false" ht="15" hidden="false" customHeight="false" outlineLevel="0" collapsed="false">
      <c r="A73" s="2" t="s">
        <v>98</v>
      </c>
      <c r="B73" s="3" t="n">
        <v>46145</v>
      </c>
      <c r="C73" s="2" t="s">
        <v>10</v>
      </c>
      <c r="D73" s="2" t="s">
        <v>33</v>
      </c>
      <c r="E73" s="2" t="s">
        <v>40</v>
      </c>
      <c r="F73" s="2" t="n">
        <v>3</v>
      </c>
      <c r="G73" s="4" t="n">
        <v>114.19</v>
      </c>
      <c r="H73" s="5" t="n">
        <v>0</v>
      </c>
      <c r="I73" s="4" t="n">
        <f aca="false">F73*G73*(1-H73)</f>
        <v>342.57</v>
      </c>
    </row>
    <row r="74" customFormat="false" ht="15" hidden="false" customHeight="false" outlineLevel="0" collapsed="false">
      <c r="A74" s="2" t="s">
        <v>99</v>
      </c>
      <c r="B74" s="3" t="n">
        <v>46194</v>
      </c>
      <c r="C74" s="2" t="s">
        <v>10</v>
      </c>
      <c r="D74" s="2" t="s">
        <v>24</v>
      </c>
      <c r="E74" s="2" t="s">
        <v>25</v>
      </c>
      <c r="F74" s="2" t="n">
        <v>3</v>
      </c>
      <c r="G74" s="4" t="n">
        <v>186.42</v>
      </c>
      <c r="H74" s="5" t="n">
        <v>0</v>
      </c>
      <c r="I74" s="4" t="n">
        <f aca="false">F74*G74*(1-H74)</f>
        <v>559.26</v>
      </c>
    </row>
    <row r="75" customFormat="false" ht="15" hidden="false" customHeight="false" outlineLevel="0" collapsed="false">
      <c r="A75" s="2" t="s">
        <v>100</v>
      </c>
      <c r="B75" s="3" t="n">
        <v>46101</v>
      </c>
      <c r="C75" s="2" t="s">
        <v>32</v>
      </c>
      <c r="D75" s="2" t="s">
        <v>15</v>
      </c>
      <c r="E75" s="2" t="s">
        <v>37</v>
      </c>
      <c r="F75" s="2" t="n">
        <v>14</v>
      </c>
      <c r="G75" s="4" t="n">
        <v>38.53</v>
      </c>
      <c r="H75" s="5" t="n">
        <v>0.15</v>
      </c>
      <c r="I75" s="4" t="n">
        <f aca="false">F75*G75*(1-H75)</f>
        <v>458.507</v>
      </c>
    </row>
    <row r="76" customFormat="false" ht="15" hidden="false" customHeight="false" outlineLevel="0" collapsed="false">
      <c r="A76" s="2" t="s">
        <v>101</v>
      </c>
      <c r="B76" s="3" t="n">
        <v>46235</v>
      </c>
      <c r="C76" s="2" t="s">
        <v>14</v>
      </c>
      <c r="D76" s="2" t="s">
        <v>11</v>
      </c>
      <c r="E76" s="2" t="s">
        <v>40</v>
      </c>
      <c r="F76" s="2" t="n">
        <v>14</v>
      </c>
      <c r="G76" s="4" t="n">
        <v>73.68</v>
      </c>
      <c r="H76" s="5" t="n">
        <v>0.15</v>
      </c>
      <c r="I76" s="4" t="n">
        <f aca="false">F76*G76*(1-H76)</f>
        <v>876.792</v>
      </c>
    </row>
    <row r="77" customFormat="false" ht="15" hidden="false" customHeight="false" outlineLevel="0" collapsed="false">
      <c r="A77" s="2" t="s">
        <v>102</v>
      </c>
      <c r="B77" s="3" t="n">
        <v>46217</v>
      </c>
      <c r="C77" s="2" t="s">
        <v>17</v>
      </c>
      <c r="D77" s="2" t="s">
        <v>15</v>
      </c>
      <c r="E77" s="2" t="s">
        <v>18</v>
      </c>
      <c r="F77" s="2" t="n">
        <v>12</v>
      </c>
      <c r="G77" s="4" t="n">
        <v>1009.03</v>
      </c>
      <c r="H77" s="5" t="n">
        <v>0.1</v>
      </c>
      <c r="I77" s="4" t="n">
        <f aca="false">F77*G77*(1-H77)</f>
        <v>10897.524</v>
      </c>
    </row>
    <row r="78" customFormat="false" ht="15" hidden="false" customHeight="false" outlineLevel="0" collapsed="false">
      <c r="A78" s="2" t="s">
        <v>103</v>
      </c>
      <c r="B78" s="3" t="n">
        <v>46135</v>
      </c>
      <c r="C78" s="2" t="s">
        <v>17</v>
      </c>
      <c r="D78" s="2" t="s">
        <v>11</v>
      </c>
      <c r="E78" s="2" t="s">
        <v>37</v>
      </c>
      <c r="F78" s="2" t="n">
        <v>9</v>
      </c>
      <c r="G78" s="4" t="n">
        <v>40.51</v>
      </c>
      <c r="H78" s="5" t="n">
        <v>0</v>
      </c>
      <c r="I78" s="4" t="n">
        <f aca="false">F78*G78*(1-H78)</f>
        <v>364.59</v>
      </c>
    </row>
    <row r="79" customFormat="false" ht="15" hidden="false" customHeight="false" outlineLevel="0" collapsed="false">
      <c r="A79" s="2" t="s">
        <v>104</v>
      </c>
      <c r="B79" s="3" t="n">
        <v>46195</v>
      </c>
      <c r="C79" s="2" t="s">
        <v>17</v>
      </c>
      <c r="D79" s="2" t="s">
        <v>43</v>
      </c>
      <c r="E79" s="2" t="s">
        <v>37</v>
      </c>
      <c r="F79" s="2" t="n">
        <v>6</v>
      </c>
      <c r="G79" s="4" t="n">
        <v>68.84</v>
      </c>
      <c r="H79" s="5" t="n">
        <v>0</v>
      </c>
      <c r="I79" s="4" t="n">
        <f aca="false">F79*G79*(1-H79)</f>
        <v>413.04</v>
      </c>
    </row>
    <row r="80" customFormat="false" ht="15" hidden="false" customHeight="false" outlineLevel="0" collapsed="false">
      <c r="A80" s="2" t="s">
        <v>105</v>
      </c>
      <c r="B80" s="3" t="n">
        <v>46224</v>
      </c>
      <c r="C80" s="2" t="s">
        <v>14</v>
      </c>
      <c r="D80" s="2" t="s">
        <v>15</v>
      </c>
      <c r="E80" s="2" t="s">
        <v>18</v>
      </c>
      <c r="F80" s="2" t="n">
        <v>14</v>
      </c>
      <c r="G80" s="4" t="n">
        <v>894.99</v>
      </c>
      <c r="H80" s="5" t="n">
        <v>0.1</v>
      </c>
      <c r="I80" s="4" t="n">
        <f aca="false">F80*G80*(1-H80)</f>
        <v>11276.874</v>
      </c>
    </row>
    <row r="81" customFormat="false" ht="15" hidden="false" customHeight="false" outlineLevel="0" collapsed="false">
      <c r="A81" s="2" t="s">
        <v>106</v>
      </c>
      <c r="B81" s="3" t="n">
        <v>46048</v>
      </c>
      <c r="C81" s="2" t="s">
        <v>10</v>
      </c>
      <c r="D81" s="2" t="s">
        <v>33</v>
      </c>
      <c r="E81" s="2" t="s">
        <v>21</v>
      </c>
      <c r="F81" s="2" t="n">
        <v>11</v>
      </c>
      <c r="G81" s="4" t="n">
        <v>305.83</v>
      </c>
      <c r="H81" s="5" t="n">
        <v>0.05</v>
      </c>
      <c r="I81" s="4" t="n">
        <f aca="false">F81*G81*(1-H81)</f>
        <v>3195.9235</v>
      </c>
    </row>
    <row r="82" customFormat="false" ht="15" hidden="false" customHeight="false" outlineLevel="0" collapsed="false">
      <c r="A82" s="2" t="s">
        <v>107</v>
      </c>
      <c r="B82" s="3" t="n">
        <v>46217</v>
      </c>
      <c r="C82" s="2" t="s">
        <v>10</v>
      </c>
      <c r="D82" s="2" t="s">
        <v>33</v>
      </c>
      <c r="E82" s="2" t="s">
        <v>30</v>
      </c>
      <c r="F82" s="2" t="n">
        <v>9</v>
      </c>
      <c r="G82" s="4" t="n">
        <v>128.54</v>
      </c>
      <c r="H82" s="5" t="n">
        <v>0.1</v>
      </c>
      <c r="I82" s="4" t="n">
        <f aca="false">F82*G82*(1-H82)</f>
        <v>1041.174</v>
      </c>
    </row>
    <row r="83" customFormat="false" ht="15" hidden="false" customHeight="false" outlineLevel="0" collapsed="false">
      <c r="A83" s="2" t="s">
        <v>108</v>
      </c>
      <c r="B83" s="3" t="n">
        <v>46049</v>
      </c>
      <c r="C83" s="2" t="s">
        <v>10</v>
      </c>
      <c r="D83" s="2" t="s">
        <v>11</v>
      </c>
      <c r="E83" s="2" t="s">
        <v>18</v>
      </c>
      <c r="F83" s="2" t="n">
        <v>3</v>
      </c>
      <c r="G83" s="4" t="n">
        <v>1346.86</v>
      </c>
      <c r="H83" s="5" t="n">
        <v>0</v>
      </c>
      <c r="I83" s="4" t="n">
        <f aca="false">F83*G83*(1-H83)</f>
        <v>4040.58</v>
      </c>
    </row>
    <row r="84" customFormat="false" ht="15" hidden="false" customHeight="false" outlineLevel="0" collapsed="false">
      <c r="A84" s="2" t="s">
        <v>109</v>
      </c>
      <c r="B84" s="3" t="n">
        <v>46149</v>
      </c>
      <c r="C84" s="2" t="s">
        <v>32</v>
      </c>
      <c r="D84" s="2" t="s">
        <v>15</v>
      </c>
      <c r="E84" s="2" t="s">
        <v>18</v>
      </c>
      <c r="F84" s="2" t="n">
        <v>20</v>
      </c>
      <c r="G84" s="4" t="n">
        <v>906.67</v>
      </c>
      <c r="H84" s="5" t="n">
        <v>0</v>
      </c>
      <c r="I84" s="4" t="n">
        <f aca="false">F84*G84*(1-H84)</f>
        <v>18133.4</v>
      </c>
    </row>
    <row r="85" customFormat="false" ht="15" hidden="false" customHeight="false" outlineLevel="0" collapsed="false">
      <c r="A85" s="2" t="s">
        <v>110</v>
      </c>
      <c r="B85" s="3" t="n">
        <v>46081</v>
      </c>
      <c r="C85" s="2" t="s">
        <v>32</v>
      </c>
      <c r="D85" s="2" t="s">
        <v>33</v>
      </c>
      <c r="E85" s="2" t="s">
        <v>40</v>
      </c>
      <c r="F85" s="2" t="n">
        <v>9</v>
      </c>
      <c r="G85" s="4" t="n">
        <v>120.86</v>
      </c>
      <c r="H85" s="5" t="n">
        <v>0</v>
      </c>
      <c r="I85" s="4" t="n">
        <f aca="false">F85*G85*(1-H85)</f>
        <v>1087.74</v>
      </c>
    </row>
    <row r="86" customFormat="false" ht="15" hidden="false" customHeight="false" outlineLevel="0" collapsed="false">
      <c r="A86" s="2" t="s">
        <v>111</v>
      </c>
      <c r="B86" s="3" t="n">
        <v>46106</v>
      </c>
      <c r="C86" s="2" t="s">
        <v>10</v>
      </c>
      <c r="D86" s="2" t="s">
        <v>15</v>
      </c>
      <c r="E86" s="2" t="s">
        <v>12</v>
      </c>
      <c r="F86" s="2" t="n">
        <v>19</v>
      </c>
      <c r="G86" s="4" t="n">
        <v>320.54</v>
      </c>
      <c r="H86" s="5" t="n">
        <v>0.05</v>
      </c>
      <c r="I86" s="4" t="n">
        <f aca="false">F86*G86*(1-H86)</f>
        <v>5785.747</v>
      </c>
    </row>
    <row r="87" customFormat="false" ht="15" hidden="false" customHeight="false" outlineLevel="0" collapsed="false">
      <c r="A87" s="2" t="s">
        <v>112</v>
      </c>
      <c r="B87" s="3" t="n">
        <v>46226</v>
      </c>
      <c r="C87" s="2" t="s">
        <v>32</v>
      </c>
      <c r="D87" s="2" t="s">
        <v>15</v>
      </c>
      <c r="E87" s="2" t="s">
        <v>37</v>
      </c>
      <c r="F87" s="2" t="n">
        <v>19</v>
      </c>
      <c r="G87" s="4" t="n">
        <v>58.34</v>
      </c>
      <c r="H87" s="5" t="n">
        <v>0</v>
      </c>
      <c r="I87" s="4" t="n">
        <f aca="false">F87*G87*(1-H87)</f>
        <v>1108.46</v>
      </c>
    </row>
    <row r="88" customFormat="false" ht="15" hidden="false" customHeight="false" outlineLevel="0" collapsed="false">
      <c r="A88" s="2" t="s">
        <v>113</v>
      </c>
      <c r="B88" s="3" t="n">
        <v>46177</v>
      </c>
      <c r="C88" s="2" t="s">
        <v>14</v>
      </c>
      <c r="D88" s="2" t="s">
        <v>24</v>
      </c>
      <c r="E88" s="2" t="s">
        <v>12</v>
      </c>
      <c r="F88" s="2" t="n">
        <v>2</v>
      </c>
      <c r="G88" s="4" t="n">
        <v>577.76</v>
      </c>
      <c r="H88" s="5" t="n">
        <v>0.1</v>
      </c>
      <c r="I88" s="4" t="n">
        <f aca="false">F88*G88*(1-H88)</f>
        <v>1039.968</v>
      </c>
    </row>
    <row r="89" customFormat="false" ht="15" hidden="false" customHeight="false" outlineLevel="0" collapsed="false">
      <c r="A89" s="2" t="s">
        <v>114</v>
      </c>
      <c r="B89" s="3" t="n">
        <v>46058</v>
      </c>
      <c r="C89" s="2" t="s">
        <v>10</v>
      </c>
      <c r="D89" s="2" t="s">
        <v>15</v>
      </c>
      <c r="E89" s="2" t="s">
        <v>30</v>
      </c>
      <c r="F89" s="2" t="n">
        <v>14</v>
      </c>
      <c r="G89" s="4" t="n">
        <v>126.9</v>
      </c>
      <c r="H89" s="5" t="n">
        <v>0</v>
      </c>
      <c r="I89" s="4" t="n">
        <f aca="false">F89*G89*(1-H89)</f>
        <v>1776.6</v>
      </c>
    </row>
    <row r="90" customFormat="false" ht="15" hidden="false" customHeight="false" outlineLevel="0" collapsed="false">
      <c r="A90" s="2" t="s">
        <v>115</v>
      </c>
      <c r="B90" s="3" t="n">
        <v>46208</v>
      </c>
      <c r="C90" s="2" t="s">
        <v>17</v>
      </c>
      <c r="D90" s="2" t="s">
        <v>43</v>
      </c>
      <c r="E90" s="2" t="s">
        <v>37</v>
      </c>
      <c r="F90" s="2" t="n">
        <v>5</v>
      </c>
      <c r="G90" s="4" t="n">
        <v>40.48</v>
      </c>
      <c r="H90" s="5" t="n">
        <v>0.15</v>
      </c>
      <c r="I90" s="4" t="n">
        <f aca="false">F90*G90*(1-H90)</f>
        <v>172.04</v>
      </c>
    </row>
    <row r="91" customFormat="false" ht="15" hidden="false" customHeight="false" outlineLevel="0" collapsed="false">
      <c r="A91" s="2" t="s">
        <v>116</v>
      </c>
      <c r="B91" s="3" t="n">
        <v>46270</v>
      </c>
      <c r="C91" s="2" t="s">
        <v>17</v>
      </c>
      <c r="D91" s="2" t="s">
        <v>33</v>
      </c>
      <c r="E91" s="2" t="s">
        <v>25</v>
      </c>
      <c r="F91" s="2" t="n">
        <v>19</v>
      </c>
      <c r="G91" s="4" t="n">
        <v>248.83</v>
      </c>
      <c r="H91" s="5" t="n">
        <v>0</v>
      </c>
      <c r="I91" s="4" t="n">
        <f aca="false">F91*G91*(1-H91)</f>
        <v>4727.77</v>
      </c>
    </row>
    <row r="92" customFormat="false" ht="15" hidden="false" customHeight="false" outlineLevel="0" collapsed="false">
      <c r="A92" s="2" t="s">
        <v>117</v>
      </c>
      <c r="B92" s="3" t="n">
        <v>46165</v>
      </c>
      <c r="C92" s="2" t="s">
        <v>17</v>
      </c>
      <c r="D92" s="2" t="s">
        <v>11</v>
      </c>
      <c r="E92" s="2" t="s">
        <v>12</v>
      </c>
      <c r="F92" s="2" t="n">
        <v>15</v>
      </c>
      <c r="G92" s="4" t="n">
        <v>755.88</v>
      </c>
      <c r="H92" s="5" t="n">
        <v>0.1</v>
      </c>
      <c r="I92" s="4" t="n">
        <f aca="false">F92*G92*(1-H92)</f>
        <v>10204.38</v>
      </c>
    </row>
    <row r="93" customFormat="false" ht="15" hidden="false" customHeight="false" outlineLevel="0" collapsed="false">
      <c r="A93" s="2" t="s">
        <v>118</v>
      </c>
      <c r="B93" s="3" t="n">
        <v>46037</v>
      </c>
      <c r="C93" s="2" t="s">
        <v>17</v>
      </c>
      <c r="D93" s="2" t="s">
        <v>20</v>
      </c>
      <c r="E93" s="2" t="s">
        <v>30</v>
      </c>
      <c r="F93" s="2" t="n">
        <v>6</v>
      </c>
      <c r="G93" s="4" t="n">
        <v>83.38</v>
      </c>
      <c r="H93" s="5" t="n">
        <v>0.05</v>
      </c>
      <c r="I93" s="4" t="n">
        <f aca="false">F93*G93*(1-H93)</f>
        <v>475.266</v>
      </c>
    </row>
    <row r="94" customFormat="false" ht="15" hidden="false" customHeight="false" outlineLevel="0" collapsed="false">
      <c r="A94" s="2" t="s">
        <v>119</v>
      </c>
      <c r="B94" s="3" t="n">
        <v>46197</v>
      </c>
      <c r="C94" s="2" t="s">
        <v>10</v>
      </c>
      <c r="D94" s="2" t="s">
        <v>24</v>
      </c>
      <c r="E94" s="2" t="s">
        <v>25</v>
      </c>
      <c r="F94" s="2" t="n">
        <v>9</v>
      </c>
      <c r="G94" s="4" t="n">
        <v>386.78</v>
      </c>
      <c r="H94" s="5" t="n">
        <v>0.15</v>
      </c>
      <c r="I94" s="4" t="n">
        <f aca="false">F94*G94*(1-H94)</f>
        <v>2958.867</v>
      </c>
    </row>
    <row r="95" customFormat="false" ht="15" hidden="false" customHeight="false" outlineLevel="0" collapsed="false">
      <c r="A95" s="2" t="s">
        <v>120</v>
      </c>
      <c r="B95" s="3" t="n">
        <v>46066</v>
      </c>
      <c r="C95" s="2" t="s">
        <v>32</v>
      </c>
      <c r="D95" s="2" t="s">
        <v>43</v>
      </c>
      <c r="E95" s="2" t="s">
        <v>28</v>
      </c>
      <c r="F95" s="2" t="n">
        <v>14</v>
      </c>
      <c r="G95" s="4" t="n">
        <v>161.92</v>
      </c>
      <c r="H95" s="5" t="n">
        <v>0</v>
      </c>
      <c r="I95" s="4" t="n">
        <f aca="false">F95*G95*(1-H95)</f>
        <v>2266.88</v>
      </c>
    </row>
    <row r="96" customFormat="false" ht="15" hidden="false" customHeight="false" outlineLevel="0" collapsed="false">
      <c r="A96" s="2" t="s">
        <v>121</v>
      </c>
      <c r="B96" s="3" t="n">
        <v>46274</v>
      </c>
      <c r="C96" s="2" t="s">
        <v>17</v>
      </c>
      <c r="D96" s="2" t="s">
        <v>15</v>
      </c>
      <c r="E96" s="2" t="s">
        <v>40</v>
      </c>
      <c r="F96" s="2" t="n">
        <v>3</v>
      </c>
      <c r="G96" s="4" t="n">
        <v>61.78</v>
      </c>
      <c r="H96" s="5" t="n">
        <v>0.1</v>
      </c>
      <c r="I96" s="4" t="n">
        <f aca="false">F96*G96*(1-H96)</f>
        <v>166.806</v>
      </c>
    </row>
    <row r="97" customFormat="false" ht="15" hidden="false" customHeight="false" outlineLevel="0" collapsed="false">
      <c r="A97" s="2" t="s">
        <v>122</v>
      </c>
      <c r="B97" s="3" t="n">
        <v>46179</v>
      </c>
      <c r="C97" s="2" t="s">
        <v>10</v>
      </c>
      <c r="D97" s="2" t="s">
        <v>33</v>
      </c>
      <c r="E97" s="2" t="s">
        <v>28</v>
      </c>
      <c r="F97" s="2" t="n">
        <v>18</v>
      </c>
      <c r="G97" s="4" t="n">
        <v>173.35</v>
      </c>
      <c r="H97" s="5" t="n">
        <v>0.1</v>
      </c>
      <c r="I97" s="4" t="n">
        <f aca="false">F97*G97*(1-H97)</f>
        <v>2808.27</v>
      </c>
    </row>
    <row r="98" customFormat="false" ht="15" hidden="false" customHeight="false" outlineLevel="0" collapsed="false">
      <c r="A98" s="2" t="s">
        <v>123</v>
      </c>
      <c r="B98" s="3" t="n">
        <v>46203</v>
      </c>
      <c r="C98" s="2" t="s">
        <v>17</v>
      </c>
      <c r="D98" s="2" t="s">
        <v>20</v>
      </c>
      <c r="E98" s="2" t="s">
        <v>30</v>
      </c>
      <c r="F98" s="2" t="n">
        <v>10</v>
      </c>
      <c r="G98" s="4" t="n">
        <v>52.68</v>
      </c>
      <c r="H98" s="5" t="n">
        <v>0</v>
      </c>
      <c r="I98" s="4" t="n">
        <f aca="false">F98*G98*(1-H98)</f>
        <v>526.8</v>
      </c>
    </row>
    <row r="99" customFormat="false" ht="15" hidden="false" customHeight="false" outlineLevel="0" collapsed="false">
      <c r="A99" s="2" t="s">
        <v>124</v>
      </c>
      <c r="B99" s="3" t="n">
        <v>46184</v>
      </c>
      <c r="C99" s="2" t="s">
        <v>14</v>
      </c>
      <c r="D99" s="2" t="s">
        <v>43</v>
      </c>
      <c r="E99" s="2" t="s">
        <v>28</v>
      </c>
      <c r="F99" s="2" t="n">
        <v>18</v>
      </c>
      <c r="G99" s="4" t="n">
        <v>286.74</v>
      </c>
      <c r="H99" s="5" t="n">
        <v>0</v>
      </c>
      <c r="I99" s="4" t="n">
        <f aca="false">F99*G99*(1-H99)</f>
        <v>5161.32</v>
      </c>
    </row>
    <row r="100" customFormat="false" ht="15" hidden="false" customHeight="false" outlineLevel="0" collapsed="false">
      <c r="A100" s="2" t="s">
        <v>125</v>
      </c>
      <c r="B100" s="3" t="n">
        <v>46133</v>
      </c>
      <c r="C100" s="2" t="s">
        <v>17</v>
      </c>
      <c r="D100" s="2" t="s">
        <v>20</v>
      </c>
      <c r="E100" s="2" t="s">
        <v>28</v>
      </c>
      <c r="F100" s="2" t="n">
        <v>19</v>
      </c>
      <c r="G100" s="4" t="n">
        <v>293.68</v>
      </c>
      <c r="H100" s="5" t="n">
        <v>0.15</v>
      </c>
      <c r="I100" s="4" t="n">
        <f aca="false">F100*G100*(1-H100)</f>
        <v>4742.932</v>
      </c>
    </row>
    <row r="101" customFormat="false" ht="15" hidden="false" customHeight="false" outlineLevel="0" collapsed="false">
      <c r="A101" s="2" t="s">
        <v>126</v>
      </c>
      <c r="B101" s="3" t="n">
        <v>46074</v>
      </c>
      <c r="C101" s="2" t="s">
        <v>32</v>
      </c>
      <c r="D101" s="2" t="s">
        <v>20</v>
      </c>
      <c r="E101" s="2" t="s">
        <v>25</v>
      </c>
      <c r="F101" s="2" t="n">
        <v>8</v>
      </c>
      <c r="G101" s="4" t="n">
        <v>293.22</v>
      </c>
      <c r="H101" s="5" t="n">
        <v>0.05</v>
      </c>
      <c r="I101" s="4" t="n">
        <f aca="false">F101*G101*(1-H101)</f>
        <v>2228.472</v>
      </c>
    </row>
    <row r="102" customFormat="false" ht="15" hidden="false" customHeight="false" outlineLevel="0" collapsed="false">
      <c r="A102" s="2" t="s">
        <v>127</v>
      </c>
      <c r="B102" s="3" t="n">
        <v>46087</v>
      </c>
      <c r="C102" s="2" t="s">
        <v>10</v>
      </c>
      <c r="D102" s="2" t="s">
        <v>15</v>
      </c>
      <c r="E102" s="2" t="s">
        <v>18</v>
      </c>
      <c r="F102" s="2" t="n">
        <v>2</v>
      </c>
      <c r="G102" s="4" t="n">
        <v>1187.35</v>
      </c>
      <c r="H102" s="5" t="n">
        <v>0</v>
      </c>
      <c r="I102" s="4" t="n">
        <f aca="false">F102*G102*(1-H102)</f>
        <v>2374.7</v>
      </c>
    </row>
    <row r="103" customFormat="false" ht="15" hidden="false" customHeight="false" outlineLevel="0" collapsed="false">
      <c r="A103" s="2" t="s">
        <v>128</v>
      </c>
      <c r="B103" s="3" t="n">
        <v>46075</v>
      </c>
      <c r="C103" s="2" t="s">
        <v>14</v>
      </c>
      <c r="D103" s="2" t="s">
        <v>24</v>
      </c>
      <c r="E103" s="2" t="s">
        <v>40</v>
      </c>
      <c r="F103" s="2" t="n">
        <v>10</v>
      </c>
      <c r="G103" s="4" t="n">
        <v>83.67</v>
      </c>
      <c r="H103" s="5" t="n">
        <v>0.1</v>
      </c>
      <c r="I103" s="4" t="n">
        <f aca="false">F103*G103*(1-H103)</f>
        <v>753.03</v>
      </c>
    </row>
    <row r="104" customFormat="false" ht="15" hidden="false" customHeight="false" outlineLevel="0" collapsed="false">
      <c r="A104" s="2" t="s">
        <v>129</v>
      </c>
      <c r="B104" s="3" t="n">
        <v>46117</v>
      </c>
      <c r="C104" s="2" t="s">
        <v>14</v>
      </c>
      <c r="D104" s="2" t="s">
        <v>20</v>
      </c>
      <c r="E104" s="2" t="s">
        <v>30</v>
      </c>
      <c r="F104" s="2" t="n">
        <v>16</v>
      </c>
      <c r="G104" s="4" t="n">
        <v>34.83</v>
      </c>
      <c r="H104" s="5" t="n">
        <v>0</v>
      </c>
      <c r="I104" s="4" t="n">
        <f aca="false">F104*G104*(1-H104)</f>
        <v>557.28</v>
      </c>
    </row>
    <row r="105" customFormat="false" ht="15" hidden="false" customHeight="false" outlineLevel="0" collapsed="false">
      <c r="A105" s="2" t="s">
        <v>130</v>
      </c>
      <c r="B105" s="3" t="n">
        <v>46274</v>
      </c>
      <c r="C105" s="2" t="s">
        <v>14</v>
      </c>
      <c r="D105" s="2" t="s">
        <v>24</v>
      </c>
      <c r="E105" s="2" t="s">
        <v>37</v>
      </c>
      <c r="F105" s="2" t="n">
        <v>2</v>
      </c>
      <c r="G105" s="4" t="n">
        <v>20.62</v>
      </c>
      <c r="H105" s="5" t="n">
        <v>0.15</v>
      </c>
      <c r="I105" s="4" t="n">
        <f aca="false">F105*G105*(1-H105)</f>
        <v>35.054</v>
      </c>
    </row>
    <row r="106" customFormat="false" ht="15" hidden="false" customHeight="false" outlineLevel="0" collapsed="false">
      <c r="A106" s="2" t="s">
        <v>131</v>
      </c>
      <c r="B106" s="3" t="n">
        <v>46066</v>
      </c>
      <c r="C106" s="2" t="s">
        <v>32</v>
      </c>
      <c r="D106" s="2" t="s">
        <v>15</v>
      </c>
      <c r="E106" s="2" t="s">
        <v>25</v>
      </c>
      <c r="F106" s="2" t="n">
        <v>18</v>
      </c>
      <c r="G106" s="4" t="n">
        <v>486.93</v>
      </c>
      <c r="H106" s="5" t="n">
        <v>0.15</v>
      </c>
      <c r="I106" s="4" t="n">
        <f aca="false">F106*G106*(1-H106)</f>
        <v>7450.029</v>
      </c>
    </row>
    <row r="107" customFormat="false" ht="15" hidden="false" customHeight="false" outlineLevel="0" collapsed="false">
      <c r="A107" s="2" t="s">
        <v>132</v>
      </c>
      <c r="B107" s="3" t="n">
        <v>46290</v>
      </c>
      <c r="C107" s="2" t="s">
        <v>17</v>
      </c>
      <c r="D107" s="2" t="s">
        <v>33</v>
      </c>
      <c r="E107" s="2" t="s">
        <v>28</v>
      </c>
      <c r="F107" s="2" t="n">
        <v>15</v>
      </c>
      <c r="G107" s="4" t="n">
        <v>110.29</v>
      </c>
      <c r="H107" s="5" t="n">
        <v>0.15</v>
      </c>
      <c r="I107" s="4" t="n">
        <f aca="false">F107*G107*(1-H107)</f>
        <v>1406.1975</v>
      </c>
    </row>
    <row r="108" customFormat="false" ht="15" hidden="false" customHeight="false" outlineLevel="0" collapsed="false">
      <c r="A108" s="2" t="s">
        <v>133</v>
      </c>
      <c r="B108" s="3" t="n">
        <v>46179</v>
      </c>
      <c r="C108" s="2" t="s">
        <v>14</v>
      </c>
      <c r="D108" s="2" t="s">
        <v>24</v>
      </c>
      <c r="E108" s="2" t="s">
        <v>37</v>
      </c>
      <c r="F108" s="2" t="n">
        <v>4</v>
      </c>
      <c r="G108" s="4" t="n">
        <v>76.33</v>
      </c>
      <c r="H108" s="5" t="n">
        <v>0</v>
      </c>
      <c r="I108" s="4" t="n">
        <f aca="false">F108*G108*(1-H108)</f>
        <v>305.32</v>
      </c>
    </row>
    <row r="109" customFormat="false" ht="15" hidden="false" customHeight="false" outlineLevel="0" collapsed="false">
      <c r="A109" s="2" t="s">
        <v>134</v>
      </c>
      <c r="B109" s="3" t="n">
        <v>46158</v>
      </c>
      <c r="C109" s="2" t="s">
        <v>14</v>
      </c>
      <c r="D109" s="2" t="s">
        <v>11</v>
      </c>
      <c r="E109" s="2" t="s">
        <v>28</v>
      </c>
      <c r="F109" s="2" t="n">
        <v>8</v>
      </c>
      <c r="G109" s="4" t="n">
        <v>76.93</v>
      </c>
      <c r="H109" s="5" t="n">
        <v>0</v>
      </c>
      <c r="I109" s="4" t="n">
        <f aca="false">F109*G109*(1-H109)</f>
        <v>615.44</v>
      </c>
    </row>
    <row r="110" customFormat="false" ht="15" hidden="false" customHeight="false" outlineLevel="0" collapsed="false">
      <c r="A110" s="2" t="s">
        <v>135</v>
      </c>
      <c r="B110" s="3" t="n">
        <v>46024</v>
      </c>
      <c r="C110" s="2" t="s">
        <v>17</v>
      </c>
      <c r="D110" s="2" t="s">
        <v>33</v>
      </c>
      <c r="E110" s="2" t="s">
        <v>21</v>
      </c>
      <c r="F110" s="2" t="n">
        <v>20</v>
      </c>
      <c r="G110" s="4" t="n">
        <v>434.96</v>
      </c>
      <c r="H110" s="5" t="n">
        <v>0</v>
      </c>
      <c r="I110" s="4" t="n">
        <f aca="false">F110*G110*(1-H110)</f>
        <v>8699.2</v>
      </c>
    </row>
    <row r="111" customFormat="false" ht="15" hidden="false" customHeight="false" outlineLevel="0" collapsed="false">
      <c r="A111" s="2" t="s">
        <v>136</v>
      </c>
      <c r="B111" s="3" t="n">
        <v>46170</v>
      </c>
      <c r="C111" s="2" t="s">
        <v>10</v>
      </c>
      <c r="D111" s="2" t="s">
        <v>43</v>
      </c>
      <c r="E111" s="2" t="s">
        <v>28</v>
      </c>
      <c r="F111" s="2" t="n">
        <v>15</v>
      </c>
      <c r="G111" s="4" t="n">
        <v>49.22</v>
      </c>
      <c r="H111" s="5" t="n">
        <v>0</v>
      </c>
      <c r="I111" s="4" t="n">
        <f aca="false">F111*G111*(1-H111)</f>
        <v>738.3</v>
      </c>
    </row>
    <row r="112" customFormat="false" ht="15" hidden="false" customHeight="false" outlineLevel="0" collapsed="false">
      <c r="A112" s="2" t="s">
        <v>137</v>
      </c>
      <c r="B112" s="3" t="n">
        <v>46124</v>
      </c>
      <c r="C112" s="2" t="s">
        <v>17</v>
      </c>
      <c r="D112" s="2" t="s">
        <v>15</v>
      </c>
      <c r="E112" s="2" t="s">
        <v>25</v>
      </c>
      <c r="F112" s="2" t="n">
        <v>18</v>
      </c>
      <c r="G112" s="4" t="n">
        <v>227.91</v>
      </c>
      <c r="H112" s="5" t="n">
        <v>0</v>
      </c>
      <c r="I112" s="4" t="n">
        <f aca="false">F112*G112*(1-H112)</f>
        <v>4102.38</v>
      </c>
    </row>
    <row r="113" customFormat="false" ht="15" hidden="false" customHeight="false" outlineLevel="0" collapsed="false">
      <c r="A113" s="2" t="s">
        <v>138</v>
      </c>
      <c r="B113" s="3" t="n">
        <v>46095</v>
      </c>
      <c r="C113" s="2" t="s">
        <v>14</v>
      </c>
      <c r="D113" s="2" t="s">
        <v>15</v>
      </c>
      <c r="E113" s="2" t="s">
        <v>25</v>
      </c>
      <c r="F113" s="2" t="n">
        <v>6</v>
      </c>
      <c r="G113" s="4" t="n">
        <v>500.46</v>
      </c>
      <c r="H113" s="5" t="n">
        <v>0.15</v>
      </c>
      <c r="I113" s="4" t="n">
        <f aca="false">F113*G113*(1-H113)</f>
        <v>2552.346</v>
      </c>
    </row>
    <row r="114" customFormat="false" ht="15" hidden="false" customHeight="false" outlineLevel="0" collapsed="false">
      <c r="A114" s="2" t="s">
        <v>139</v>
      </c>
      <c r="B114" s="3" t="n">
        <v>46247</v>
      </c>
      <c r="C114" s="2" t="s">
        <v>14</v>
      </c>
      <c r="D114" s="2" t="s">
        <v>33</v>
      </c>
      <c r="E114" s="2" t="s">
        <v>25</v>
      </c>
      <c r="F114" s="2" t="n">
        <v>10</v>
      </c>
      <c r="G114" s="4" t="n">
        <v>455.87</v>
      </c>
      <c r="H114" s="5" t="n">
        <v>0.05</v>
      </c>
      <c r="I114" s="4" t="n">
        <f aca="false">F114*G114*(1-H114)</f>
        <v>4330.765</v>
      </c>
    </row>
    <row r="115" customFormat="false" ht="15" hidden="false" customHeight="false" outlineLevel="0" collapsed="false">
      <c r="A115" s="2" t="s">
        <v>140</v>
      </c>
      <c r="B115" s="3" t="n">
        <v>46247</v>
      </c>
      <c r="C115" s="2" t="s">
        <v>14</v>
      </c>
      <c r="D115" s="2" t="s">
        <v>24</v>
      </c>
      <c r="E115" s="2" t="s">
        <v>40</v>
      </c>
      <c r="F115" s="2" t="n">
        <v>2</v>
      </c>
      <c r="G115" s="4" t="n">
        <v>136.18</v>
      </c>
      <c r="H115" s="5" t="n">
        <v>0.05</v>
      </c>
      <c r="I115" s="4" t="n">
        <f aca="false">F115*G115*(1-H115)</f>
        <v>258.742</v>
      </c>
    </row>
    <row r="116" customFormat="false" ht="15" hidden="false" customHeight="false" outlineLevel="0" collapsed="false">
      <c r="A116" s="2" t="s">
        <v>141</v>
      </c>
      <c r="B116" s="3" t="n">
        <v>46036</v>
      </c>
      <c r="C116" s="2" t="s">
        <v>14</v>
      </c>
      <c r="D116" s="2" t="s">
        <v>11</v>
      </c>
      <c r="E116" s="2" t="s">
        <v>25</v>
      </c>
      <c r="F116" s="2" t="n">
        <v>19</v>
      </c>
      <c r="G116" s="4" t="n">
        <v>401.82</v>
      </c>
      <c r="H116" s="5" t="n">
        <v>0</v>
      </c>
      <c r="I116" s="4" t="n">
        <f aca="false">F116*G116*(1-H116)</f>
        <v>7634.58</v>
      </c>
    </row>
    <row r="117" customFormat="false" ht="15" hidden="false" customHeight="false" outlineLevel="0" collapsed="false">
      <c r="A117" s="2" t="s">
        <v>142</v>
      </c>
      <c r="B117" s="3" t="n">
        <v>46043</v>
      </c>
      <c r="C117" s="2" t="s">
        <v>32</v>
      </c>
      <c r="D117" s="2" t="s">
        <v>33</v>
      </c>
      <c r="E117" s="2" t="s">
        <v>25</v>
      </c>
      <c r="F117" s="2" t="n">
        <v>17</v>
      </c>
      <c r="G117" s="4" t="n">
        <v>432.72</v>
      </c>
      <c r="H117" s="5" t="n">
        <v>0.05</v>
      </c>
      <c r="I117" s="4" t="n">
        <f aca="false">F117*G117*(1-H117)</f>
        <v>6988.428</v>
      </c>
    </row>
    <row r="118" customFormat="false" ht="15" hidden="false" customHeight="false" outlineLevel="0" collapsed="false">
      <c r="A118" s="2" t="s">
        <v>143</v>
      </c>
      <c r="B118" s="3" t="n">
        <v>46246</v>
      </c>
      <c r="C118" s="2" t="s">
        <v>17</v>
      </c>
      <c r="D118" s="2" t="s">
        <v>15</v>
      </c>
      <c r="E118" s="2" t="s">
        <v>21</v>
      </c>
      <c r="F118" s="2" t="n">
        <v>16</v>
      </c>
      <c r="G118" s="4" t="n">
        <v>373.98</v>
      </c>
      <c r="H118" s="5" t="n">
        <v>0.05</v>
      </c>
      <c r="I118" s="4" t="n">
        <f aca="false">F118*G118*(1-H118)</f>
        <v>5684.496</v>
      </c>
    </row>
    <row r="119" customFormat="false" ht="15" hidden="false" customHeight="false" outlineLevel="0" collapsed="false">
      <c r="A119" s="2" t="s">
        <v>144</v>
      </c>
      <c r="B119" s="3" t="n">
        <v>46076</v>
      </c>
      <c r="C119" s="2" t="s">
        <v>32</v>
      </c>
      <c r="D119" s="2" t="s">
        <v>20</v>
      </c>
      <c r="E119" s="2" t="s">
        <v>30</v>
      </c>
      <c r="F119" s="2" t="n">
        <v>14</v>
      </c>
      <c r="G119" s="4" t="n">
        <v>110.18</v>
      </c>
      <c r="H119" s="5" t="n">
        <v>0.05</v>
      </c>
      <c r="I119" s="4" t="n">
        <f aca="false">F119*G119*(1-H119)</f>
        <v>1465.394</v>
      </c>
    </row>
    <row r="120" customFormat="false" ht="15" hidden="false" customHeight="false" outlineLevel="0" collapsed="false">
      <c r="A120" s="2" t="s">
        <v>145</v>
      </c>
      <c r="B120" s="3" t="n">
        <v>46041</v>
      </c>
      <c r="C120" s="2" t="s">
        <v>17</v>
      </c>
      <c r="D120" s="2" t="s">
        <v>15</v>
      </c>
      <c r="E120" s="2" t="s">
        <v>37</v>
      </c>
      <c r="F120" s="2" t="n">
        <v>11</v>
      </c>
      <c r="G120" s="4" t="n">
        <v>27.67</v>
      </c>
      <c r="H120" s="5" t="n">
        <v>0</v>
      </c>
      <c r="I120" s="4" t="n">
        <f aca="false">F120*G120*(1-H120)</f>
        <v>304.37</v>
      </c>
    </row>
    <row r="121" customFormat="false" ht="15" hidden="false" customHeight="false" outlineLevel="0" collapsed="false">
      <c r="A121" s="2" t="s">
        <v>146</v>
      </c>
      <c r="B121" s="3" t="n">
        <v>46286</v>
      </c>
      <c r="C121" s="2" t="s">
        <v>14</v>
      </c>
      <c r="D121" s="2" t="s">
        <v>43</v>
      </c>
      <c r="E121" s="2" t="s">
        <v>37</v>
      </c>
      <c r="F121" s="2" t="n">
        <v>18</v>
      </c>
      <c r="G121" s="4" t="n">
        <v>42.34</v>
      </c>
      <c r="H121" s="5" t="n">
        <v>0</v>
      </c>
      <c r="I121" s="4" t="n">
        <f aca="false">F121*G121*(1-H121)</f>
        <v>762.12</v>
      </c>
    </row>
    <row r="122" customFormat="false" ht="15" hidden="false" customHeight="false" outlineLevel="0" collapsed="false">
      <c r="A122" s="2" t="s">
        <v>147</v>
      </c>
      <c r="B122" s="3" t="n">
        <v>46288</v>
      </c>
      <c r="C122" s="2" t="s">
        <v>10</v>
      </c>
      <c r="D122" s="2" t="s">
        <v>24</v>
      </c>
      <c r="E122" s="2" t="s">
        <v>28</v>
      </c>
      <c r="F122" s="2" t="n">
        <v>16</v>
      </c>
      <c r="G122" s="4" t="n">
        <v>198.86</v>
      </c>
      <c r="H122" s="5" t="n">
        <v>0</v>
      </c>
      <c r="I122" s="4" t="n">
        <f aca="false">F122*G122*(1-H122)</f>
        <v>3181.76</v>
      </c>
    </row>
    <row r="123" customFormat="false" ht="15" hidden="false" customHeight="false" outlineLevel="0" collapsed="false">
      <c r="A123" s="2" t="s">
        <v>148</v>
      </c>
      <c r="B123" s="3" t="n">
        <v>46159</v>
      </c>
      <c r="C123" s="2" t="s">
        <v>32</v>
      </c>
      <c r="D123" s="2" t="s">
        <v>20</v>
      </c>
      <c r="E123" s="2" t="s">
        <v>28</v>
      </c>
      <c r="F123" s="2" t="n">
        <v>15</v>
      </c>
      <c r="G123" s="4" t="n">
        <v>267.83</v>
      </c>
      <c r="H123" s="5" t="n">
        <v>0.1</v>
      </c>
      <c r="I123" s="4" t="n">
        <f aca="false">F123*G123*(1-H123)</f>
        <v>3615.705</v>
      </c>
    </row>
    <row r="124" customFormat="false" ht="15" hidden="false" customHeight="false" outlineLevel="0" collapsed="false">
      <c r="A124" s="2" t="s">
        <v>149</v>
      </c>
      <c r="B124" s="3" t="n">
        <v>46037</v>
      </c>
      <c r="C124" s="2" t="s">
        <v>32</v>
      </c>
      <c r="D124" s="2" t="s">
        <v>43</v>
      </c>
      <c r="E124" s="2" t="s">
        <v>12</v>
      </c>
      <c r="F124" s="2" t="n">
        <v>6</v>
      </c>
      <c r="G124" s="4" t="n">
        <v>548.6</v>
      </c>
      <c r="H124" s="5" t="n">
        <v>0</v>
      </c>
      <c r="I124" s="4" t="n">
        <f aca="false">F124*G124*(1-H124)</f>
        <v>3291.6</v>
      </c>
    </row>
    <row r="125" customFormat="false" ht="15" hidden="false" customHeight="false" outlineLevel="0" collapsed="false">
      <c r="A125" s="2" t="s">
        <v>150</v>
      </c>
      <c r="B125" s="3" t="n">
        <v>46070</v>
      </c>
      <c r="C125" s="2" t="s">
        <v>32</v>
      </c>
      <c r="D125" s="2" t="s">
        <v>15</v>
      </c>
      <c r="E125" s="2" t="s">
        <v>37</v>
      </c>
      <c r="F125" s="2" t="n">
        <v>15</v>
      </c>
      <c r="G125" s="4" t="n">
        <v>76.29</v>
      </c>
      <c r="H125" s="5" t="n">
        <v>0</v>
      </c>
      <c r="I125" s="4" t="n">
        <f aca="false">F125*G125*(1-H125)</f>
        <v>1144.35</v>
      </c>
    </row>
    <row r="126" customFormat="false" ht="15" hidden="false" customHeight="false" outlineLevel="0" collapsed="false">
      <c r="A126" s="2" t="s">
        <v>151</v>
      </c>
      <c r="B126" s="3" t="n">
        <v>46172</v>
      </c>
      <c r="C126" s="2" t="s">
        <v>10</v>
      </c>
      <c r="D126" s="2" t="s">
        <v>33</v>
      </c>
      <c r="E126" s="2" t="s">
        <v>40</v>
      </c>
      <c r="F126" s="2" t="n">
        <v>16</v>
      </c>
      <c r="G126" s="4" t="n">
        <v>147.53</v>
      </c>
      <c r="H126" s="5" t="n">
        <v>0</v>
      </c>
      <c r="I126" s="4" t="n">
        <f aca="false">F126*G126*(1-H126)</f>
        <v>2360.48</v>
      </c>
    </row>
    <row r="127" customFormat="false" ht="15" hidden="false" customHeight="false" outlineLevel="0" collapsed="false">
      <c r="A127" s="2" t="s">
        <v>152</v>
      </c>
      <c r="B127" s="3" t="n">
        <v>46097</v>
      </c>
      <c r="C127" s="2" t="s">
        <v>17</v>
      </c>
      <c r="D127" s="2" t="s">
        <v>11</v>
      </c>
      <c r="E127" s="2" t="s">
        <v>40</v>
      </c>
      <c r="F127" s="2" t="n">
        <v>20</v>
      </c>
      <c r="G127" s="4" t="n">
        <v>88.53</v>
      </c>
      <c r="H127" s="5" t="n">
        <v>0</v>
      </c>
      <c r="I127" s="4" t="n">
        <f aca="false">F127*G127*(1-H127)</f>
        <v>1770.6</v>
      </c>
    </row>
    <row r="128" customFormat="false" ht="15" hidden="false" customHeight="false" outlineLevel="0" collapsed="false">
      <c r="A128" s="2" t="s">
        <v>153</v>
      </c>
      <c r="B128" s="3" t="n">
        <v>46164</v>
      </c>
      <c r="C128" s="2" t="s">
        <v>17</v>
      </c>
      <c r="D128" s="2" t="s">
        <v>20</v>
      </c>
      <c r="E128" s="2" t="s">
        <v>12</v>
      </c>
      <c r="F128" s="2" t="n">
        <v>17</v>
      </c>
      <c r="G128" s="4" t="n">
        <v>513.74</v>
      </c>
      <c r="H128" s="5" t="n">
        <v>0</v>
      </c>
      <c r="I128" s="4" t="n">
        <f aca="false">F128*G128*(1-H128)</f>
        <v>8733.58</v>
      </c>
    </row>
    <row r="129" customFormat="false" ht="15" hidden="false" customHeight="false" outlineLevel="0" collapsed="false">
      <c r="A129" s="2" t="s">
        <v>154</v>
      </c>
      <c r="B129" s="3" t="n">
        <v>46175</v>
      </c>
      <c r="C129" s="2" t="s">
        <v>17</v>
      </c>
      <c r="D129" s="2" t="s">
        <v>11</v>
      </c>
      <c r="E129" s="2" t="s">
        <v>25</v>
      </c>
      <c r="F129" s="2" t="n">
        <v>15</v>
      </c>
      <c r="G129" s="4" t="n">
        <v>378.52</v>
      </c>
      <c r="H129" s="5" t="n">
        <v>0.05</v>
      </c>
      <c r="I129" s="4" t="n">
        <f aca="false">F129*G129*(1-H129)</f>
        <v>5393.91</v>
      </c>
    </row>
    <row r="130" customFormat="false" ht="15" hidden="false" customHeight="false" outlineLevel="0" collapsed="false">
      <c r="A130" s="2" t="s">
        <v>155</v>
      </c>
      <c r="B130" s="3" t="n">
        <v>46216</v>
      </c>
      <c r="C130" s="2" t="s">
        <v>17</v>
      </c>
      <c r="D130" s="2" t="s">
        <v>20</v>
      </c>
      <c r="E130" s="2" t="s">
        <v>30</v>
      </c>
      <c r="F130" s="2" t="n">
        <v>7</v>
      </c>
      <c r="G130" s="4" t="n">
        <v>147.5</v>
      </c>
      <c r="H130" s="5" t="n">
        <v>0</v>
      </c>
      <c r="I130" s="4" t="n">
        <f aca="false">F130*G130*(1-H130)</f>
        <v>1032.5</v>
      </c>
    </row>
    <row r="131" customFormat="false" ht="15" hidden="false" customHeight="false" outlineLevel="0" collapsed="false">
      <c r="A131" s="2" t="s">
        <v>156</v>
      </c>
      <c r="B131" s="3" t="n">
        <v>46142</v>
      </c>
      <c r="C131" s="2" t="s">
        <v>17</v>
      </c>
      <c r="D131" s="2" t="s">
        <v>15</v>
      </c>
      <c r="E131" s="2" t="s">
        <v>37</v>
      </c>
      <c r="F131" s="2" t="n">
        <v>11</v>
      </c>
      <c r="G131" s="4" t="n">
        <v>62.13</v>
      </c>
      <c r="H131" s="5" t="n">
        <v>0.1</v>
      </c>
      <c r="I131" s="4" t="n">
        <f aca="false">F131*G131*(1-H131)</f>
        <v>615.087</v>
      </c>
    </row>
    <row r="132" customFormat="false" ht="15" hidden="false" customHeight="false" outlineLevel="0" collapsed="false">
      <c r="A132" s="2" t="s">
        <v>157</v>
      </c>
      <c r="B132" s="3" t="n">
        <v>46100</v>
      </c>
      <c r="C132" s="2" t="s">
        <v>17</v>
      </c>
      <c r="D132" s="2" t="s">
        <v>15</v>
      </c>
      <c r="E132" s="2" t="s">
        <v>37</v>
      </c>
      <c r="F132" s="2" t="n">
        <v>5</v>
      </c>
      <c r="G132" s="4" t="n">
        <v>45.16</v>
      </c>
      <c r="H132" s="5" t="n">
        <v>0.15</v>
      </c>
      <c r="I132" s="4" t="n">
        <f aca="false">F132*G132*(1-H132)</f>
        <v>191.93</v>
      </c>
    </row>
    <row r="133" customFormat="false" ht="15" hidden="false" customHeight="false" outlineLevel="0" collapsed="false">
      <c r="A133" s="2" t="s">
        <v>158</v>
      </c>
      <c r="B133" s="3" t="n">
        <v>46074</v>
      </c>
      <c r="C133" s="2" t="s">
        <v>17</v>
      </c>
      <c r="D133" s="2" t="s">
        <v>15</v>
      </c>
      <c r="E133" s="2" t="s">
        <v>30</v>
      </c>
      <c r="F133" s="2" t="n">
        <v>17</v>
      </c>
      <c r="G133" s="4" t="n">
        <v>138.36</v>
      </c>
      <c r="H133" s="5" t="n">
        <v>0</v>
      </c>
      <c r="I133" s="4" t="n">
        <f aca="false">F133*G133*(1-H133)</f>
        <v>2352.12</v>
      </c>
    </row>
    <row r="134" customFormat="false" ht="15" hidden="false" customHeight="false" outlineLevel="0" collapsed="false">
      <c r="A134" s="2" t="s">
        <v>159</v>
      </c>
      <c r="B134" s="3" t="n">
        <v>46232</v>
      </c>
      <c r="C134" s="2" t="s">
        <v>32</v>
      </c>
      <c r="D134" s="2" t="s">
        <v>15</v>
      </c>
      <c r="E134" s="2" t="s">
        <v>21</v>
      </c>
      <c r="F134" s="2" t="n">
        <v>16</v>
      </c>
      <c r="G134" s="4" t="n">
        <v>590.76</v>
      </c>
      <c r="H134" s="5" t="n">
        <v>0.05</v>
      </c>
      <c r="I134" s="4" t="n">
        <f aca="false">F134*G134*(1-H134)</f>
        <v>8979.552</v>
      </c>
    </row>
    <row r="135" customFormat="false" ht="15" hidden="false" customHeight="false" outlineLevel="0" collapsed="false">
      <c r="A135" s="2" t="s">
        <v>160</v>
      </c>
      <c r="B135" s="3" t="n">
        <v>46226</v>
      </c>
      <c r="C135" s="2" t="s">
        <v>14</v>
      </c>
      <c r="D135" s="2" t="s">
        <v>20</v>
      </c>
      <c r="E135" s="2" t="s">
        <v>30</v>
      </c>
      <c r="F135" s="2" t="n">
        <v>18</v>
      </c>
      <c r="G135" s="4" t="n">
        <v>69.4</v>
      </c>
      <c r="H135" s="5" t="n">
        <v>0.05</v>
      </c>
      <c r="I135" s="4" t="n">
        <f aca="false">F135*G135*(1-H135)</f>
        <v>1186.74</v>
      </c>
    </row>
    <row r="136" customFormat="false" ht="15" hidden="false" customHeight="false" outlineLevel="0" collapsed="false">
      <c r="A136" s="2" t="s">
        <v>161</v>
      </c>
      <c r="B136" s="3" t="n">
        <v>46041</v>
      </c>
      <c r="C136" s="2" t="s">
        <v>14</v>
      </c>
      <c r="D136" s="2" t="s">
        <v>11</v>
      </c>
      <c r="E136" s="2" t="s">
        <v>40</v>
      </c>
      <c r="F136" s="2" t="n">
        <v>10</v>
      </c>
      <c r="G136" s="4" t="n">
        <v>149.68</v>
      </c>
      <c r="H136" s="5" t="n">
        <v>0</v>
      </c>
      <c r="I136" s="4" t="n">
        <f aca="false">F136*G136*(1-H136)</f>
        <v>1496.8</v>
      </c>
    </row>
    <row r="137" customFormat="false" ht="15" hidden="false" customHeight="false" outlineLevel="0" collapsed="false">
      <c r="A137" s="2" t="s">
        <v>162</v>
      </c>
      <c r="B137" s="3" t="n">
        <v>46073</v>
      </c>
      <c r="C137" s="2" t="s">
        <v>14</v>
      </c>
      <c r="D137" s="2" t="s">
        <v>33</v>
      </c>
      <c r="E137" s="2" t="s">
        <v>37</v>
      </c>
      <c r="F137" s="2" t="n">
        <v>6</v>
      </c>
      <c r="G137" s="4" t="n">
        <v>58.58</v>
      </c>
      <c r="H137" s="5" t="n">
        <v>0</v>
      </c>
      <c r="I137" s="4" t="n">
        <f aca="false">F137*G137*(1-H137)</f>
        <v>351.48</v>
      </c>
    </row>
    <row r="138" customFormat="false" ht="15" hidden="false" customHeight="false" outlineLevel="0" collapsed="false">
      <c r="A138" s="2" t="s">
        <v>163</v>
      </c>
      <c r="B138" s="3" t="n">
        <v>46189</v>
      </c>
      <c r="C138" s="2" t="s">
        <v>14</v>
      </c>
      <c r="D138" s="2" t="s">
        <v>20</v>
      </c>
      <c r="E138" s="2" t="s">
        <v>18</v>
      </c>
      <c r="F138" s="2" t="n">
        <v>12</v>
      </c>
      <c r="G138" s="4" t="n">
        <v>1062.39</v>
      </c>
      <c r="H138" s="5" t="n">
        <v>0</v>
      </c>
      <c r="I138" s="4" t="n">
        <f aca="false">F138*G138*(1-H138)</f>
        <v>12748.68</v>
      </c>
    </row>
    <row r="139" customFormat="false" ht="15" hidden="false" customHeight="false" outlineLevel="0" collapsed="false">
      <c r="A139" s="2" t="s">
        <v>164</v>
      </c>
      <c r="B139" s="3" t="n">
        <v>46294</v>
      </c>
      <c r="C139" s="2" t="s">
        <v>17</v>
      </c>
      <c r="D139" s="2" t="s">
        <v>24</v>
      </c>
      <c r="E139" s="2" t="s">
        <v>28</v>
      </c>
      <c r="F139" s="2" t="n">
        <v>6</v>
      </c>
      <c r="G139" s="4" t="n">
        <v>75.9</v>
      </c>
      <c r="H139" s="5" t="n">
        <v>0</v>
      </c>
      <c r="I139" s="4" t="n">
        <f aca="false">F139*G139*(1-H139)</f>
        <v>455.4</v>
      </c>
    </row>
    <row r="140" customFormat="false" ht="15" hidden="false" customHeight="false" outlineLevel="0" collapsed="false">
      <c r="A140" s="2" t="s">
        <v>165</v>
      </c>
      <c r="B140" s="3" t="n">
        <v>46146</v>
      </c>
      <c r="C140" s="2" t="s">
        <v>17</v>
      </c>
      <c r="D140" s="2" t="s">
        <v>24</v>
      </c>
      <c r="E140" s="2" t="s">
        <v>37</v>
      </c>
      <c r="F140" s="2" t="n">
        <v>5</v>
      </c>
      <c r="G140" s="4" t="n">
        <v>26.25</v>
      </c>
      <c r="H140" s="5" t="n">
        <v>0.05</v>
      </c>
      <c r="I140" s="4" t="n">
        <f aca="false">F140*G140*(1-H140)</f>
        <v>124.6875</v>
      </c>
    </row>
    <row r="141" customFormat="false" ht="15" hidden="false" customHeight="false" outlineLevel="0" collapsed="false">
      <c r="A141" s="2" t="s">
        <v>166</v>
      </c>
      <c r="B141" s="3" t="n">
        <v>46153</v>
      </c>
      <c r="C141" s="2" t="s">
        <v>14</v>
      </c>
      <c r="D141" s="2" t="s">
        <v>33</v>
      </c>
      <c r="E141" s="2" t="s">
        <v>40</v>
      </c>
      <c r="F141" s="2" t="n">
        <v>10</v>
      </c>
      <c r="G141" s="4" t="n">
        <v>109.7</v>
      </c>
      <c r="H141" s="5" t="n">
        <v>0</v>
      </c>
      <c r="I141" s="4" t="n">
        <f aca="false">F141*G141*(1-H141)</f>
        <v>1097</v>
      </c>
    </row>
    <row r="142" customFormat="false" ht="15" hidden="false" customHeight="false" outlineLevel="0" collapsed="false">
      <c r="A142" s="2" t="s">
        <v>167</v>
      </c>
      <c r="B142" s="3" t="n">
        <v>46249</v>
      </c>
      <c r="C142" s="2" t="s">
        <v>10</v>
      </c>
      <c r="D142" s="2" t="s">
        <v>24</v>
      </c>
      <c r="E142" s="2" t="s">
        <v>12</v>
      </c>
      <c r="F142" s="2" t="n">
        <v>10</v>
      </c>
      <c r="G142" s="4" t="n">
        <v>811.15</v>
      </c>
      <c r="H142" s="5" t="n">
        <v>0.1</v>
      </c>
      <c r="I142" s="4" t="n">
        <f aca="false">F142*G142*(1-H142)</f>
        <v>7300.35</v>
      </c>
    </row>
    <row r="143" customFormat="false" ht="15" hidden="false" customHeight="false" outlineLevel="0" collapsed="false">
      <c r="A143" s="2" t="s">
        <v>168</v>
      </c>
      <c r="B143" s="3" t="n">
        <v>46256</v>
      </c>
      <c r="C143" s="2" t="s">
        <v>10</v>
      </c>
      <c r="D143" s="2" t="s">
        <v>11</v>
      </c>
      <c r="E143" s="2" t="s">
        <v>25</v>
      </c>
      <c r="F143" s="2" t="n">
        <v>13</v>
      </c>
      <c r="G143" s="4" t="n">
        <v>529.6</v>
      </c>
      <c r="H143" s="5" t="n">
        <v>0</v>
      </c>
      <c r="I143" s="4" t="n">
        <f aca="false">F143*G143*(1-H143)</f>
        <v>6884.8</v>
      </c>
    </row>
    <row r="144" customFormat="false" ht="15" hidden="false" customHeight="false" outlineLevel="0" collapsed="false">
      <c r="A144" s="2" t="s">
        <v>169</v>
      </c>
      <c r="B144" s="3" t="n">
        <v>46218</v>
      </c>
      <c r="C144" s="2" t="s">
        <v>10</v>
      </c>
      <c r="D144" s="2" t="s">
        <v>24</v>
      </c>
      <c r="E144" s="2" t="s">
        <v>28</v>
      </c>
      <c r="F144" s="2" t="n">
        <v>10</v>
      </c>
      <c r="G144" s="4" t="n">
        <v>298.03</v>
      </c>
      <c r="H144" s="5" t="n">
        <v>0.05</v>
      </c>
      <c r="I144" s="4" t="n">
        <f aca="false">F144*G144*(1-H144)</f>
        <v>2831.285</v>
      </c>
    </row>
    <row r="145" customFormat="false" ht="15" hidden="false" customHeight="false" outlineLevel="0" collapsed="false">
      <c r="A145" s="2" t="s">
        <v>170</v>
      </c>
      <c r="B145" s="3" t="n">
        <v>46225</v>
      </c>
      <c r="C145" s="2" t="s">
        <v>10</v>
      </c>
      <c r="D145" s="2" t="s">
        <v>15</v>
      </c>
      <c r="E145" s="2" t="s">
        <v>18</v>
      </c>
      <c r="F145" s="2" t="n">
        <v>19</v>
      </c>
      <c r="G145" s="4" t="n">
        <v>1405.55</v>
      </c>
      <c r="H145" s="5" t="n">
        <v>0</v>
      </c>
      <c r="I145" s="4" t="n">
        <f aca="false">F145*G145*(1-H145)</f>
        <v>26705.45</v>
      </c>
    </row>
    <row r="146" customFormat="false" ht="15" hidden="false" customHeight="false" outlineLevel="0" collapsed="false">
      <c r="A146" s="2" t="s">
        <v>171</v>
      </c>
      <c r="B146" s="3" t="n">
        <v>46169</v>
      </c>
      <c r="C146" s="2" t="s">
        <v>32</v>
      </c>
      <c r="D146" s="2" t="s">
        <v>24</v>
      </c>
      <c r="E146" s="2" t="s">
        <v>40</v>
      </c>
      <c r="F146" s="2" t="n">
        <v>12</v>
      </c>
      <c r="G146" s="4" t="n">
        <v>52.38</v>
      </c>
      <c r="H146" s="5" t="n">
        <v>0</v>
      </c>
      <c r="I146" s="4" t="n">
        <f aca="false">F146*G146*(1-H146)</f>
        <v>628.56</v>
      </c>
    </row>
    <row r="147" customFormat="false" ht="15" hidden="false" customHeight="false" outlineLevel="0" collapsed="false">
      <c r="A147" s="2" t="s">
        <v>172</v>
      </c>
      <c r="B147" s="3" t="n">
        <v>46093</v>
      </c>
      <c r="C147" s="2" t="s">
        <v>14</v>
      </c>
      <c r="D147" s="2" t="s">
        <v>43</v>
      </c>
      <c r="E147" s="2" t="s">
        <v>25</v>
      </c>
      <c r="F147" s="2" t="n">
        <v>2</v>
      </c>
      <c r="G147" s="4" t="n">
        <v>268.29</v>
      </c>
      <c r="H147" s="5" t="n">
        <v>0.1</v>
      </c>
      <c r="I147" s="4" t="n">
        <f aca="false">F147*G147*(1-H147)</f>
        <v>482.922</v>
      </c>
    </row>
    <row r="148" customFormat="false" ht="15" hidden="false" customHeight="false" outlineLevel="0" collapsed="false">
      <c r="A148" s="2" t="s">
        <v>173</v>
      </c>
      <c r="B148" s="3" t="n">
        <v>46209</v>
      </c>
      <c r="C148" s="2" t="s">
        <v>32</v>
      </c>
      <c r="D148" s="2" t="s">
        <v>15</v>
      </c>
      <c r="E148" s="2" t="s">
        <v>18</v>
      </c>
      <c r="F148" s="2" t="n">
        <v>10</v>
      </c>
      <c r="G148" s="4" t="n">
        <v>1028.7</v>
      </c>
      <c r="H148" s="5" t="n">
        <v>0.1</v>
      </c>
      <c r="I148" s="4" t="n">
        <f aca="false">F148*G148*(1-H148)</f>
        <v>9258.3</v>
      </c>
    </row>
    <row r="149" customFormat="false" ht="15" hidden="false" customHeight="false" outlineLevel="0" collapsed="false">
      <c r="A149" s="2" t="s">
        <v>174</v>
      </c>
      <c r="B149" s="3" t="n">
        <v>46125</v>
      </c>
      <c r="C149" s="2" t="s">
        <v>32</v>
      </c>
      <c r="D149" s="2" t="s">
        <v>24</v>
      </c>
      <c r="E149" s="2" t="s">
        <v>21</v>
      </c>
      <c r="F149" s="2" t="n">
        <v>12</v>
      </c>
      <c r="G149" s="4" t="n">
        <v>465.43</v>
      </c>
      <c r="H149" s="5" t="n">
        <v>0.05</v>
      </c>
      <c r="I149" s="4" t="n">
        <f aca="false">F149*G149*(1-H149)</f>
        <v>5305.902</v>
      </c>
    </row>
    <row r="150" customFormat="false" ht="15" hidden="false" customHeight="false" outlineLevel="0" collapsed="false">
      <c r="A150" s="2" t="s">
        <v>175</v>
      </c>
      <c r="B150" s="3" t="n">
        <v>46154</v>
      </c>
      <c r="C150" s="2" t="s">
        <v>17</v>
      </c>
      <c r="D150" s="2" t="s">
        <v>20</v>
      </c>
      <c r="E150" s="2" t="s">
        <v>21</v>
      </c>
      <c r="F150" s="2" t="n">
        <v>11</v>
      </c>
      <c r="G150" s="4" t="n">
        <v>602.12</v>
      </c>
      <c r="H150" s="5" t="n">
        <v>0.1</v>
      </c>
      <c r="I150" s="4" t="n">
        <f aca="false">F150*G150*(1-H150)</f>
        <v>5960.988</v>
      </c>
    </row>
    <row r="151" customFormat="false" ht="15" hidden="false" customHeight="false" outlineLevel="0" collapsed="false">
      <c r="A151" s="2" t="s">
        <v>176</v>
      </c>
      <c r="B151" s="3" t="n">
        <v>46095</v>
      </c>
      <c r="C151" s="2" t="s">
        <v>32</v>
      </c>
      <c r="D151" s="2" t="s">
        <v>43</v>
      </c>
      <c r="E151" s="2" t="s">
        <v>12</v>
      </c>
      <c r="F151" s="2" t="n">
        <v>13</v>
      </c>
      <c r="G151" s="4" t="n">
        <v>1073.82</v>
      </c>
      <c r="H151" s="5" t="n">
        <v>0.15</v>
      </c>
      <c r="I151" s="4" t="n">
        <f aca="false">F151*G151*(1-H151)</f>
        <v>11865.711</v>
      </c>
    </row>
    <row r="152" customFormat="false" ht="15" hidden="false" customHeight="false" outlineLevel="0" collapsed="false">
      <c r="A152" s="2" t="s">
        <v>177</v>
      </c>
      <c r="B152" s="3" t="n">
        <v>46069</v>
      </c>
      <c r="C152" s="2" t="s">
        <v>17</v>
      </c>
      <c r="D152" s="2" t="s">
        <v>15</v>
      </c>
      <c r="E152" s="2" t="s">
        <v>30</v>
      </c>
      <c r="F152" s="2" t="n">
        <v>9</v>
      </c>
      <c r="G152" s="4" t="n">
        <v>89.75</v>
      </c>
      <c r="H152" s="5" t="n">
        <v>0.1</v>
      </c>
      <c r="I152" s="4" t="n">
        <f aca="false">F152*G152*(1-H152)</f>
        <v>726.975</v>
      </c>
    </row>
    <row r="153" customFormat="false" ht="15" hidden="false" customHeight="false" outlineLevel="0" collapsed="false">
      <c r="A153" s="2" t="s">
        <v>178</v>
      </c>
      <c r="B153" s="3" t="n">
        <v>46157</v>
      </c>
      <c r="C153" s="2" t="s">
        <v>17</v>
      </c>
      <c r="D153" s="2" t="s">
        <v>43</v>
      </c>
      <c r="E153" s="2" t="s">
        <v>30</v>
      </c>
      <c r="F153" s="2" t="n">
        <v>12</v>
      </c>
      <c r="G153" s="4" t="n">
        <v>34.08</v>
      </c>
      <c r="H153" s="5" t="n">
        <v>0</v>
      </c>
      <c r="I153" s="4" t="n">
        <f aca="false">F153*G153*(1-H153)</f>
        <v>408.96</v>
      </c>
    </row>
    <row r="154" customFormat="false" ht="15" hidden="false" customHeight="false" outlineLevel="0" collapsed="false">
      <c r="A154" s="2" t="s">
        <v>179</v>
      </c>
      <c r="B154" s="3" t="n">
        <v>46035</v>
      </c>
      <c r="C154" s="2" t="s">
        <v>10</v>
      </c>
      <c r="D154" s="2" t="s">
        <v>24</v>
      </c>
      <c r="E154" s="2" t="s">
        <v>40</v>
      </c>
      <c r="F154" s="2" t="n">
        <v>8</v>
      </c>
      <c r="G154" s="4" t="n">
        <v>105.96</v>
      </c>
      <c r="H154" s="5" t="n">
        <v>0.1</v>
      </c>
      <c r="I154" s="4" t="n">
        <f aca="false">F154*G154*(1-H154)</f>
        <v>762.912</v>
      </c>
    </row>
    <row r="155" customFormat="false" ht="15" hidden="false" customHeight="false" outlineLevel="0" collapsed="false">
      <c r="A155" s="2" t="s">
        <v>180</v>
      </c>
      <c r="B155" s="3" t="n">
        <v>46232</v>
      </c>
      <c r="C155" s="2" t="s">
        <v>14</v>
      </c>
      <c r="D155" s="2" t="s">
        <v>11</v>
      </c>
      <c r="E155" s="2" t="s">
        <v>25</v>
      </c>
      <c r="F155" s="2" t="n">
        <v>2</v>
      </c>
      <c r="G155" s="4" t="n">
        <v>574.21</v>
      </c>
      <c r="H155" s="5" t="n">
        <v>0.05</v>
      </c>
      <c r="I155" s="4" t="n">
        <f aca="false">F155*G155*(1-H155)</f>
        <v>1090.999</v>
      </c>
    </row>
    <row r="156" customFormat="false" ht="15" hidden="false" customHeight="false" outlineLevel="0" collapsed="false">
      <c r="A156" s="2" t="s">
        <v>181</v>
      </c>
      <c r="B156" s="3" t="n">
        <v>46082</v>
      </c>
      <c r="C156" s="2" t="s">
        <v>14</v>
      </c>
      <c r="D156" s="2" t="s">
        <v>11</v>
      </c>
      <c r="E156" s="2" t="s">
        <v>40</v>
      </c>
      <c r="F156" s="2" t="n">
        <v>18</v>
      </c>
      <c r="G156" s="4" t="n">
        <v>41.96</v>
      </c>
      <c r="H156" s="5" t="n">
        <v>0.1</v>
      </c>
      <c r="I156" s="4" t="n">
        <f aca="false">F156*G156*(1-H156)</f>
        <v>679.752</v>
      </c>
    </row>
    <row r="157" customFormat="false" ht="15" hidden="false" customHeight="false" outlineLevel="0" collapsed="false">
      <c r="A157" s="2" t="s">
        <v>182</v>
      </c>
      <c r="B157" s="3" t="n">
        <v>46237</v>
      </c>
      <c r="C157" s="2" t="s">
        <v>32</v>
      </c>
      <c r="D157" s="2" t="s">
        <v>33</v>
      </c>
      <c r="E157" s="2" t="s">
        <v>30</v>
      </c>
      <c r="F157" s="2" t="n">
        <v>4</v>
      </c>
      <c r="G157" s="4" t="n">
        <v>128.38</v>
      </c>
      <c r="H157" s="5" t="n">
        <v>0.15</v>
      </c>
      <c r="I157" s="4" t="n">
        <f aca="false">F157*G157*(1-H157)</f>
        <v>436.492</v>
      </c>
    </row>
    <row r="158" customFormat="false" ht="15" hidden="false" customHeight="false" outlineLevel="0" collapsed="false">
      <c r="A158" s="2" t="s">
        <v>183</v>
      </c>
      <c r="B158" s="3" t="n">
        <v>46166</v>
      </c>
      <c r="C158" s="2" t="s">
        <v>14</v>
      </c>
      <c r="D158" s="2" t="s">
        <v>43</v>
      </c>
      <c r="E158" s="2" t="s">
        <v>37</v>
      </c>
      <c r="F158" s="2" t="n">
        <v>12</v>
      </c>
      <c r="G158" s="4" t="n">
        <v>25.21</v>
      </c>
      <c r="H158" s="5" t="n">
        <v>0.1</v>
      </c>
      <c r="I158" s="4" t="n">
        <f aca="false">F158*G158*(1-H158)</f>
        <v>272.268</v>
      </c>
    </row>
    <row r="159" customFormat="false" ht="15" hidden="false" customHeight="false" outlineLevel="0" collapsed="false">
      <c r="A159" s="2" t="s">
        <v>184</v>
      </c>
      <c r="B159" s="3" t="n">
        <v>46208</v>
      </c>
      <c r="C159" s="2" t="s">
        <v>14</v>
      </c>
      <c r="D159" s="2" t="s">
        <v>43</v>
      </c>
      <c r="E159" s="2" t="s">
        <v>28</v>
      </c>
      <c r="F159" s="2" t="n">
        <v>12</v>
      </c>
      <c r="G159" s="4" t="n">
        <v>177.01</v>
      </c>
      <c r="H159" s="5" t="n">
        <v>0.05</v>
      </c>
      <c r="I159" s="4" t="n">
        <f aca="false">F159*G159*(1-H159)</f>
        <v>2017.914</v>
      </c>
    </row>
    <row r="160" customFormat="false" ht="15" hidden="false" customHeight="false" outlineLevel="0" collapsed="false">
      <c r="A160" s="2" t="s">
        <v>185</v>
      </c>
      <c r="B160" s="3" t="n">
        <v>46226</v>
      </c>
      <c r="C160" s="2" t="s">
        <v>10</v>
      </c>
      <c r="D160" s="2" t="s">
        <v>11</v>
      </c>
      <c r="E160" s="2" t="s">
        <v>18</v>
      </c>
      <c r="F160" s="2" t="n">
        <v>4</v>
      </c>
      <c r="G160" s="4" t="n">
        <v>1464.31</v>
      </c>
      <c r="H160" s="5" t="n">
        <v>0.1</v>
      </c>
      <c r="I160" s="4" t="n">
        <f aca="false">F160*G160*(1-H160)</f>
        <v>5271.516</v>
      </c>
    </row>
    <row r="161" customFormat="false" ht="15" hidden="false" customHeight="false" outlineLevel="0" collapsed="false">
      <c r="A161" s="2" t="s">
        <v>186</v>
      </c>
      <c r="B161" s="3" t="n">
        <v>46131</v>
      </c>
      <c r="C161" s="2" t="s">
        <v>14</v>
      </c>
      <c r="D161" s="2" t="s">
        <v>15</v>
      </c>
      <c r="E161" s="2" t="s">
        <v>12</v>
      </c>
      <c r="F161" s="2" t="n">
        <v>11</v>
      </c>
      <c r="G161" s="4" t="n">
        <v>494.86</v>
      </c>
      <c r="H161" s="5" t="n">
        <v>0</v>
      </c>
      <c r="I161" s="4" t="n">
        <f aca="false">F161*G161*(1-H161)</f>
        <v>5443.46</v>
      </c>
    </row>
    <row r="162" customFormat="false" ht="15" hidden="false" customHeight="false" outlineLevel="0" collapsed="false">
      <c r="A162" s="2" t="s">
        <v>187</v>
      </c>
      <c r="B162" s="3" t="n">
        <v>46058</v>
      </c>
      <c r="C162" s="2" t="s">
        <v>32</v>
      </c>
      <c r="D162" s="2" t="s">
        <v>24</v>
      </c>
      <c r="E162" s="2" t="s">
        <v>28</v>
      </c>
      <c r="F162" s="2" t="n">
        <v>7</v>
      </c>
      <c r="G162" s="4" t="n">
        <v>249.52</v>
      </c>
      <c r="H162" s="5" t="n">
        <v>0</v>
      </c>
      <c r="I162" s="4" t="n">
        <f aca="false">F162*G162*(1-H162)</f>
        <v>1746.64</v>
      </c>
    </row>
    <row r="163" customFormat="false" ht="15" hidden="false" customHeight="false" outlineLevel="0" collapsed="false">
      <c r="A163" s="2" t="s">
        <v>188</v>
      </c>
      <c r="B163" s="3" t="n">
        <v>46098</v>
      </c>
      <c r="C163" s="2" t="s">
        <v>14</v>
      </c>
      <c r="D163" s="2" t="s">
        <v>20</v>
      </c>
      <c r="E163" s="2" t="s">
        <v>30</v>
      </c>
      <c r="F163" s="2" t="n">
        <v>5</v>
      </c>
      <c r="G163" s="4" t="n">
        <v>148.38</v>
      </c>
      <c r="H163" s="5" t="n">
        <v>0.15</v>
      </c>
      <c r="I163" s="4" t="n">
        <f aca="false">F163*G163*(1-H163)</f>
        <v>630.615</v>
      </c>
    </row>
    <row r="164" customFormat="false" ht="15" hidden="false" customHeight="false" outlineLevel="0" collapsed="false">
      <c r="A164" s="2" t="s">
        <v>189</v>
      </c>
      <c r="B164" s="3" t="n">
        <v>46112</v>
      </c>
      <c r="C164" s="2" t="s">
        <v>14</v>
      </c>
      <c r="D164" s="2" t="s">
        <v>43</v>
      </c>
      <c r="E164" s="2" t="s">
        <v>25</v>
      </c>
      <c r="F164" s="2" t="n">
        <v>1</v>
      </c>
      <c r="G164" s="4" t="n">
        <v>183.27</v>
      </c>
      <c r="H164" s="5" t="n">
        <v>0.05</v>
      </c>
      <c r="I164" s="4" t="n">
        <f aca="false">F164*G164*(1-H164)</f>
        <v>174.1065</v>
      </c>
    </row>
    <row r="165" customFormat="false" ht="15" hidden="false" customHeight="false" outlineLevel="0" collapsed="false">
      <c r="A165" s="2" t="s">
        <v>190</v>
      </c>
      <c r="B165" s="3" t="n">
        <v>46188</v>
      </c>
      <c r="C165" s="2" t="s">
        <v>14</v>
      </c>
      <c r="D165" s="2" t="s">
        <v>11</v>
      </c>
      <c r="E165" s="2" t="s">
        <v>28</v>
      </c>
      <c r="F165" s="2" t="n">
        <v>9</v>
      </c>
      <c r="G165" s="4" t="n">
        <v>44.15</v>
      </c>
      <c r="H165" s="5" t="n">
        <v>0.1</v>
      </c>
      <c r="I165" s="4" t="n">
        <f aca="false">F165*G165*(1-H165)</f>
        <v>357.615</v>
      </c>
    </row>
    <row r="166" customFormat="false" ht="15" hidden="false" customHeight="false" outlineLevel="0" collapsed="false">
      <c r="A166" s="2" t="s">
        <v>191</v>
      </c>
      <c r="B166" s="3" t="n">
        <v>46055</v>
      </c>
      <c r="C166" s="2" t="s">
        <v>17</v>
      </c>
      <c r="D166" s="2" t="s">
        <v>33</v>
      </c>
      <c r="E166" s="2" t="s">
        <v>12</v>
      </c>
      <c r="F166" s="2" t="n">
        <v>12</v>
      </c>
      <c r="G166" s="4" t="n">
        <v>710.59</v>
      </c>
      <c r="H166" s="5" t="n">
        <v>0</v>
      </c>
      <c r="I166" s="4" t="n">
        <f aca="false">F166*G166*(1-H166)</f>
        <v>8527.08</v>
      </c>
    </row>
    <row r="167" customFormat="false" ht="15" hidden="false" customHeight="false" outlineLevel="0" collapsed="false">
      <c r="A167" s="2" t="s">
        <v>192</v>
      </c>
      <c r="B167" s="3" t="n">
        <v>46280</v>
      </c>
      <c r="C167" s="2" t="s">
        <v>32</v>
      </c>
      <c r="D167" s="2" t="s">
        <v>24</v>
      </c>
      <c r="E167" s="2" t="s">
        <v>40</v>
      </c>
      <c r="F167" s="2" t="n">
        <v>2</v>
      </c>
      <c r="G167" s="4" t="n">
        <v>115.91</v>
      </c>
      <c r="H167" s="5" t="n">
        <v>0.15</v>
      </c>
      <c r="I167" s="4" t="n">
        <f aca="false">F167*G167*(1-H167)</f>
        <v>197.047</v>
      </c>
    </row>
    <row r="168" customFormat="false" ht="15" hidden="false" customHeight="false" outlineLevel="0" collapsed="false">
      <c r="A168" s="2" t="s">
        <v>193</v>
      </c>
      <c r="B168" s="3" t="n">
        <v>46257</v>
      </c>
      <c r="C168" s="2" t="s">
        <v>14</v>
      </c>
      <c r="D168" s="2" t="s">
        <v>15</v>
      </c>
      <c r="E168" s="2" t="s">
        <v>25</v>
      </c>
      <c r="F168" s="2" t="n">
        <v>16</v>
      </c>
      <c r="G168" s="4" t="n">
        <v>526.7</v>
      </c>
      <c r="H168" s="5" t="n">
        <v>0.1</v>
      </c>
      <c r="I168" s="4" t="n">
        <f aca="false">F168*G168*(1-H168)</f>
        <v>7584.48</v>
      </c>
    </row>
    <row r="169" customFormat="false" ht="15" hidden="false" customHeight="false" outlineLevel="0" collapsed="false">
      <c r="A169" s="2" t="s">
        <v>194</v>
      </c>
      <c r="B169" s="3" t="n">
        <v>46274</v>
      </c>
      <c r="C169" s="2" t="s">
        <v>17</v>
      </c>
      <c r="D169" s="2" t="s">
        <v>15</v>
      </c>
      <c r="E169" s="2" t="s">
        <v>12</v>
      </c>
      <c r="F169" s="2" t="n">
        <v>3</v>
      </c>
      <c r="G169" s="4" t="n">
        <v>557.69</v>
      </c>
      <c r="H169" s="5" t="n">
        <v>0</v>
      </c>
      <c r="I169" s="4" t="n">
        <f aca="false">F169*G169*(1-H169)</f>
        <v>1673.07</v>
      </c>
    </row>
    <row r="170" customFormat="false" ht="15" hidden="false" customHeight="false" outlineLevel="0" collapsed="false">
      <c r="A170" s="2" t="s">
        <v>195</v>
      </c>
      <c r="B170" s="3" t="n">
        <v>46087</v>
      </c>
      <c r="C170" s="2" t="s">
        <v>10</v>
      </c>
      <c r="D170" s="2" t="s">
        <v>24</v>
      </c>
      <c r="E170" s="2" t="s">
        <v>12</v>
      </c>
      <c r="F170" s="2" t="n">
        <v>19</v>
      </c>
      <c r="G170" s="4" t="n">
        <v>738.69</v>
      </c>
      <c r="H170" s="5" t="n">
        <v>0.05</v>
      </c>
      <c r="I170" s="4" t="n">
        <f aca="false">F170*G170*(1-H170)</f>
        <v>13333.3545</v>
      </c>
    </row>
    <row r="171" customFormat="false" ht="15" hidden="false" customHeight="false" outlineLevel="0" collapsed="false">
      <c r="A171" s="2" t="s">
        <v>196</v>
      </c>
      <c r="B171" s="3" t="n">
        <v>46294</v>
      </c>
      <c r="C171" s="2" t="s">
        <v>10</v>
      </c>
      <c r="D171" s="2" t="s">
        <v>33</v>
      </c>
      <c r="E171" s="2" t="s">
        <v>37</v>
      </c>
      <c r="F171" s="2" t="n">
        <v>17</v>
      </c>
      <c r="G171" s="4" t="n">
        <v>52.38</v>
      </c>
      <c r="H171" s="5" t="n">
        <v>0</v>
      </c>
      <c r="I171" s="4" t="n">
        <f aca="false">F171*G171*(1-H171)</f>
        <v>890.46</v>
      </c>
    </row>
    <row r="172" customFormat="false" ht="15" hidden="false" customHeight="false" outlineLevel="0" collapsed="false">
      <c r="A172" s="2" t="s">
        <v>197</v>
      </c>
      <c r="B172" s="3" t="n">
        <v>46133</v>
      </c>
      <c r="C172" s="2" t="s">
        <v>17</v>
      </c>
      <c r="D172" s="2" t="s">
        <v>33</v>
      </c>
      <c r="E172" s="2" t="s">
        <v>12</v>
      </c>
      <c r="F172" s="2" t="n">
        <v>8</v>
      </c>
      <c r="G172" s="4" t="n">
        <v>631.05</v>
      </c>
      <c r="H172" s="5" t="n">
        <v>0.1</v>
      </c>
      <c r="I172" s="4" t="n">
        <f aca="false">F172*G172*(1-H172)</f>
        <v>4543.56</v>
      </c>
    </row>
    <row r="173" customFormat="false" ht="15" hidden="false" customHeight="false" outlineLevel="0" collapsed="false">
      <c r="A173" s="2" t="s">
        <v>198</v>
      </c>
      <c r="B173" s="3" t="n">
        <v>46235</v>
      </c>
      <c r="C173" s="2" t="s">
        <v>14</v>
      </c>
      <c r="D173" s="2" t="s">
        <v>20</v>
      </c>
      <c r="E173" s="2" t="s">
        <v>37</v>
      </c>
      <c r="F173" s="2" t="n">
        <v>14</v>
      </c>
      <c r="G173" s="4" t="n">
        <v>31.88</v>
      </c>
      <c r="H173" s="5" t="n">
        <v>0.05</v>
      </c>
      <c r="I173" s="4" t="n">
        <f aca="false">F173*G173*(1-H173)</f>
        <v>424.004</v>
      </c>
    </row>
    <row r="174" customFormat="false" ht="15" hidden="false" customHeight="false" outlineLevel="0" collapsed="false">
      <c r="A174" s="2" t="s">
        <v>199</v>
      </c>
      <c r="B174" s="3" t="n">
        <v>46101</v>
      </c>
      <c r="C174" s="2" t="s">
        <v>17</v>
      </c>
      <c r="D174" s="2" t="s">
        <v>15</v>
      </c>
      <c r="E174" s="2" t="s">
        <v>30</v>
      </c>
      <c r="F174" s="2" t="n">
        <v>3</v>
      </c>
      <c r="G174" s="4" t="n">
        <v>128.13</v>
      </c>
      <c r="H174" s="5" t="n">
        <v>0</v>
      </c>
      <c r="I174" s="4" t="n">
        <f aca="false">F174*G174*(1-H174)</f>
        <v>384.39</v>
      </c>
    </row>
    <row r="175" customFormat="false" ht="15" hidden="false" customHeight="false" outlineLevel="0" collapsed="false">
      <c r="A175" s="2" t="s">
        <v>200</v>
      </c>
      <c r="B175" s="3" t="n">
        <v>46072</v>
      </c>
      <c r="C175" s="2" t="s">
        <v>10</v>
      </c>
      <c r="D175" s="2" t="s">
        <v>11</v>
      </c>
      <c r="E175" s="2" t="s">
        <v>37</v>
      </c>
      <c r="F175" s="2" t="n">
        <v>18</v>
      </c>
      <c r="G175" s="4" t="n">
        <v>14.2</v>
      </c>
      <c r="H175" s="5" t="n">
        <v>0.15</v>
      </c>
      <c r="I175" s="4" t="n">
        <f aca="false">F175*G175*(1-H175)</f>
        <v>217.26</v>
      </c>
    </row>
    <row r="176" customFormat="false" ht="15" hidden="false" customHeight="false" outlineLevel="0" collapsed="false">
      <c r="A176" s="2" t="s">
        <v>201</v>
      </c>
      <c r="B176" s="3" t="n">
        <v>46085</v>
      </c>
      <c r="C176" s="2" t="s">
        <v>17</v>
      </c>
      <c r="D176" s="2" t="s">
        <v>20</v>
      </c>
      <c r="E176" s="2" t="s">
        <v>30</v>
      </c>
      <c r="F176" s="2" t="n">
        <v>14</v>
      </c>
      <c r="G176" s="4" t="n">
        <v>132.85</v>
      </c>
      <c r="H176" s="5" t="n">
        <v>0</v>
      </c>
      <c r="I176" s="4" t="n">
        <f aca="false">F176*G176*(1-H176)</f>
        <v>1859.9</v>
      </c>
    </row>
    <row r="177" customFormat="false" ht="15" hidden="false" customHeight="false" outlineLevel="0" collapsed="false">
      <c r="A177" s="2" t="s">
        <v>202</v>
      </c>
      <c r="B177" s="3" t="n">
        <v>46182</v>
      </c>
      <c r="C177" s="2" t="s">
        <v>10</v>
      </c>
      <c r="D177" s="2" t="s">
        <v>15</v>
      </c>
      <c r="E177" s="2" t="s">
        <v>25</v>
      </c>
      <c r="F177" s="2" t="n">
        <v>19</v>
      </c>
      <c r="G177" s="4" t="n">
        <v>363.56</v>
      </c>
      <c r="H177" s="5" t="n">
        <v>0</v>
      </c>
      <c r="I177" s="4" t="n">
        <f aca="false">F177*G177*(1-H177)</f>
        <v>6907.64</v>
      </c>
    </row>
    <row r="178" customFormat="false" ht="15" hidden="false" customHeight="false" outlineLevel="0" collapsed="false">
      <c r="A178" s="2" t="s">
        <v>203</v>
      </c>
      <c r="B178" s="3" t="n">
        <v>46137</v>
      </c>
      <c r="C178" s="2" t="s">
        <v>14</v>
      </c>
      <c r="D178" s="2" t="s">
        <v>20</v>
      </c>
      <c r="E178" s="2" t="s">
        <v>40</v>
      </c>
      <c r="F178" s="2" t="n">
        <v>18</v>
      </c>
      <c r="G178" s="4" t="n">
        <v>70.95</v>
      </c>
      <c r="H178" s="5" t="n">
        <v>0.05</v>
      </c>
      <c r="I178" s="4" t="n">
        <f aca="false">F178*G178*(1-H178)</f>
        <v>1213.245</v>
      </c>
    </row>
    <row r="179" customFormat="false" ht="15" hidden="false" customHeight="false" outlineLevel="0" collapsed="false">
      <c r="A179" s="2" t="s">
        <v>204</v>
      </c>
      <c r="B179" s="3" t="n">
        <v>46242</v>
      </c>
      <c r="C179" s="2" t="s">
        <v>14</v>
      </c>
      <c r="D179" s="2" t="s">
        <v>24</v>
      </c>
      <c r="E179" s="2" t="s">
        <v>28</v>
      </c>
      <c r="F179" s="2" t="n">
        <v>9</v>
      </c>
      <c r="G179" s="4" t="n">
        <v>37.82</v>
      </c>
      <c r="H179" s="5" t="n">
        <v>0.05</v>
      </c>
      <c r="I179" s="4" t="n">
        <f aca="false">F179*G179*(1-H179)</f>
        <v>323.361</v>
      </c>
    </row>
    <row r="180" customFormat="false" ht="15" hidden="false" customHeight="false" outlineLevel="0" collapsed="false">
      <c r="A180" s="2" t="s">
        <v>205</v>
      </c>
      <c r="B180" s="3" t="n">
        <v>46196</v>
      </c>
      <c r="C180" s="2" t="s">
        <v>10</v>
      </c>
      <c r="D180" s="2" t="s">
        <v>15</v>
      </c>
      <c r="E180" s="2" t="s">
        <v>25</v>
      </c>
      <c r="F180" s="2" t="n">
        <v>6</v>
      </c>
      <c r="G180" s="4" t="n">
        <v>537.53</v>
      </c>
      <c r="H180" s="5" t="n">
        <v>0.15</v>
      </c>
      <c r="I180" s="4" t="n">
        <f aca="false">F180*G180*(1-H180)</f>
        <v>2741.403</v>
      </c>
    </row>
    <row r="181" customFormat="false" ht="15" hidden="false" customHeight="false" outlineLevel="0" collapsed="false">
      <c r="A181" s="2" t="s">
        <v>206</v>
      </c>
      <c r="B181" s="3" t="n">
        <v>46058</v>
      </c>
      <c r="C181" s="2" t="s">
        <v>32</v>
      </c>
      <c r="D181" s="2" t="s">
        <v>43</v>
      </c>
      <c r="E181" s="2" t="s">
        <v>37</v>
      </c>
      <c r="F181" s="2" t="n">
        <v>1</v>
      </c>
      <c r="G181" s="4" t="n">
        <v>16.42</v>
      </c>
      <c r="H181" s="5" t="n">
        <v>0.15</v>
      </c>
      <c r="I181" s="4" t="n">
        <f aca="false">F181*G181*(1-H181)</f>
        <v>13.957</v>
      </c>
    </row>
    <row r="182" customFormat="false" ht="15" hidden="false" customHeight="false" outlineLevel="0" collapsed="false">
      <c r="A182" s="2" t="s">
        <v>207</v>
      </c>
      <c r="B182" s="3" t="n">
        <v>46215</v>
      </c>
      <c r="C182" s="2" t="s">
        <v>17</v>
      </c>
      <c r="D182" s="2" t="s">
        <v>33</v>
      </c>
      <c r="E182" s="2" t="s">
        <v>28</v>
      </c>
      <c r="F182" s="2" t="n">
        <v>11</v>
      </c>
      <c r="G182" s="4" t="n">
        <v>72.5</v>
      </c>
      <c r="H182" s="5" t="n">
        <v>0.05</v>
      </c>
      <c r="I182" s="4" t="n">
        <f aca="false">F182*G182*(1-H182)</f>
        <v>757.625</v>
      </c>
    </row>
    <row r="183" customFormat="false" ht="15" hidden="false" customHeight="false" outlineLevel="0" collapsed="false">
      <c r="A183" s="2" t="s">
        <v>208</v>
      </c>
      <c r="B183" s="3" t="n">
        <v>46066</v>
      </c>
      <c r="C183" s="2" t="s">
        <v>14</v>
      </c>
      <c r="D183" s="2" t="s">
        <v>11</v>
      </c>
      <c r="E183" s="2" t="s">
        <v>30</v>
      </c>
      <c r="F183" s="2" t="n">
        <v>6</v>
      </c>
      <c r="G183" s="4" t="n">
        <v>118.08</v>
      </c>
      <c r="H183" s="5" t="n">
        <v>0</v>
      </c>
      <c r="I183" s="4" t="n">
        <f aca="false">F183*G183*(1-H183)</f>
        <v>708.48</v>
      </c>
    </row>
    <row r="184" customFormat="false" ht="15" hidden="false" customHeight="false" outlineLevel="0" collapsed="false">
      <c r="A184" s="2" t="s">
        <v>209</v>
      </c>
      <c r="B184" s="3" t="n">
        <v>46162</v>
      </c>
      <c r="C184" s="2" t="s">
        <v>17</v>
      </c>
      <c r="D184" s="2" t="s">
        <v>43</v>
      </c>
      <c r="E184" s="2" t="s">
        <v>12</v>
      </c>
      <c r="F184" s="2" t="n">
        <v>14</v>
      </c>
      <c r="G184" s="4" t="n">
        <v>688.53</v>
      </c>
      <c r="H184" s="5" t="n">
        <v>0.1</v>
      </c>
      <c r="I184" s="4" t="n">
        <f aca="false">F184*G184*(1-H184)</f>
        <v>8675.478</v>
      </c>
    </row>
    <row r="185" customFormat="false" ht="15" hidden="false" customHeight="false" outlineLevel="0" collapsed="false">
      <c r="A185" s="2" t="s">
        <v>210</v>
      </c>
      <c r="B185" s="3" t="n">
        <v>46162</v>
      </c>
      <c r="C185" s="2" t="s">
        <v>32</v>
      </c>
      <c r="D185" s="2" t="s">
        <v>24</v>
      </c>
      <c r="E185" s="2" t="s">
        <v>37</v>
      </c>
      <c r="F185" s="2" t="n">
        <v>4</v>
      </c>
      <c r="G185" s="4" t="n">
        <v>34.16</v>
      </c>
      <c r="H185" s="5" t="n">
        <v>0</v>
      </c>
      <c r="I185" s="4" t="n">
        <f aca="false">F185*G185*(1-H185)</f>
        <v>136.64</v>
      </c>
    </row>
    <row r="186" customFormat="false" ht="15" hidden="false" customHeight="false" outlineLevel="0" collapsed="false">
      <c r="A186" s="2" t="s">
        <v>211</v>
      </c>
      <c r="B186" s="3" t="n">
        <v>46272</v>
      </c>
      <c r="C186" s="2" t="s">
        <v>10</v>
      </c>
      <c r="D186" s="2" t="s">
        <v>15</v>
      </c>
      <c r="E186" s="2" t="s">
        <v>25</v>
      </c>
      <c r="F186" s="2" t="n">
        <v>8</v>
      </c>
      <c r="G186" s="4" t="n">
        <v>309.73</v>
      </c>
      <c r="H186" s="5" t="n">
        <v>0.15</v>
      </c>
      <c r="I186" s="4" t="n">
        <f aca="false">F186*G186*(1-H186)</f>
        <v>2106.164</v>
      </c>
    </row>
    <row r="187" customFormat="false" ht="15" hidden="false" customHeight="false" outlineLevel="0" collapsed="false">
      <c r="A187" s="2" t="s">
        <v>212</v>
      </c>
      <c r="B187" s="3" t="n">
        <v>46026</v>
      </c>
      <c r="C187" s="2" t="s">
        <v>32</v>
      </c>
      <c r="D187" s="2" t="s">
        <v>20</v>
      </c>
      <c r="E187" s="2" t="s">
        <v>18</v>
      </c>
      <c r="F187" s="2" t="n">
        <v>7</v>
      </c>
      <c r="G187" s="4" t="n">
        <v>1337.14</v>
      </c>
      <c r="H187" s="5" t="n">
        <v>0.05</v>
      </c>
      <c r="I187" s="4" t="n">
        <f aca="false">F187*G187*(1-H187)</f>
        <v>8891.981</v>
      </c>
    </row>
    <row r="188" customFormat="false" ht="15" hidden="false" customHeight="false" outlineLevel="0" collapsed="false">
      <c r="A188" s="2" t="s">
        <v>213</v>
      </c>
      <c r="B188" s="3" t="n">
        <v>46190</v>
      </c>
      <c r="C188" s="2" t="s">
        <v>14</v>
      </c>
      <c r="D188" s="2" t="s">
        <v>15</v>
      </c>
      <c r="E188" s="2" t="s">
        <v>25</v>
      </c>
      <c r="F188" s="2" t="n">
        <v>16</v>
      </c>
      <c r="G188" s="4" t="n">
        <v>478.57</v>
      </c>
      <c r="H188" s="5" t="n">
        <v>0</v>
      </c>
      <c r="I188" s="4" t="n">
        <f aca="false">F188*G188*(1-H188)</f>
        <v>7657.12</v>
      </c>
    </row>
    <row r="189" customFormat="false" ht="15" hidden="false" customHeight="false" outlineLevel="0" collapsed="false">
      <c r="A189" s="2" t="s">
        <v>214</v>
      </c>
      <c r="B189" s="3" t="n">
        <v>46217</v>
      </c>
      <c r="C189" s="2" t="s">
        <v>32</v>
      </c>
      <c r="D189" s="2" t="s">
        <v>24</v>
      </c>
      <c r="E189" s="2" t="s">
        <v>21</v>
      </c>
      <c r="F189" s="2" t="n">
        <v>18</v>
      </c>
      <c r="G189" s="4" t="n">
        <v>616.68</v>
      </c>
      <c r="H189" s="5" t="n">
        <v>0.05</v>
      </c>
      <c r="I189" s="4" t="n">
        <f aca="false">F189*G189*(1-H189)</f>
        <v>10545.228</v>
      </c>
    </row>
    <row r="190" customFormat="false" ht="15" hidden="false" customHeight="false" outlineLevel="0" collapsed="false">
      <c r="A190" s="2" t="s">
        <v>215</v>
      </c>
      <c r="B190" s="3" t="n">
        <v>46226</v>
      </c>
      <c r="C190" s="2" t="s">
        <v>14</v>
      </c>
      <c r="D190" s="2" t="s">
        <v>33</v>
      </c>
      <c r="E190" s="2" t="s">
        <v>12</v>
      </c>
      <c r="F190" s="2" t="n">
        <v>1</v>
      </c>
      <c r="G190" s="4" t="n">
        <v>667.8</v>
      </c>
      <c r="H190" s="5" t="n">
        <v>0</v>
      </c>
      <c r="I190" s="4" t="n">
        <f aca="false">F190*G190*(1-H190)</f>
        <v>667.8</v>
      </c>
    </row>
    <row r="191" customFormat="false" ht="15" hidden="false" customHeight="false" outlineLevel="0" collapsed="false">
      <c r="A191" s="2" t="s">
        <v>216</v>
      </c>
      <c r="B191" s="3" t="n">
        <v>46242</v>
      </c>
      <c r="C191" s="2" t="s">
        <v>17</v>
      </c>
      <c r="D191" s="2" t="s">
        <v>43</v>
      </c>
      <c r="E191" s="2" t="s">
        <v>30</v>
      </c>
      <c r="F191" s="2" t="n">
        <v>14</v>
      </c>
      <c r="G191" s="4" t="n">
        <v>57.64</v>
      </c>
      <c r="H191" s="5" t="n">
        <v>0.1</v>
      </c>
      <c r="I191" s="4" t="n">
        <f aca="false">F191*G191*(1-H191)</f>
        <v>726.264</v>
      </c>
    </row>
    <row r="192" customFormat="false" ht="15" hidden="false" customHeight="false" outlineLevel="0" collapsed="false">
      <c r="A192" s="2" t="s">
        <v>217</v>
      </c>
      <c r="B192" s="3" t="n">
        <v>46189</v>
      </c>
      <c r="C192" s="2" t="s">
        <v>32</v>
      </c>
      <c r="D192" s="2" t="s">
        <v>24</v>
      </c>
      <c r="E192" s="2" t="s">
        <v>18</v>
      </c>
      <c r="F192" s="2" t="n">
        <v>15</v>
      </c>
      <c r="G192" s="4" t="n">
        <v>1382.42</v>
      </c>
      <c r="H192" s="5" t="n">
        <v>0.05</v>
      </c>
      <c r="I192" s="4" t="n">
        <f aca="false">F192*G192*(1-H192)</f>
        <v>19699.485</v>
      </c>
    </row>
    <row r="193" customFormat="false" ht="15" hidden="false" customHeight="false" outlineLevel="0" collapsed="false">
      <c r="A193" s="2" t="s">
        <v>218</v>
      </c>
      <c r="B193" s="3" t="n">
        <v>46246</v>
      </c>
      <c r="C193" s="2" t="s">
        <v>14</v>
      </c>
      <c r="D193" s="2" t="s">
        <v>11</v>
      </c>
      <c r="E193" s="2" t="s">
        <v>12</v>
      </c>
      <c r="F193" s="2" t="n">
        <v>14</v>
      </c>
      <c r="G193" s="4" t="n">
        <v>771.1</v>
      </c>
      <c r="H193" s="5" t="n">
        <v>0.15</v>
      </c>
      <c r="I193" s="4" t="n">
        <f aca="false">F193*G193*(1-H193)</f>
        <v>9176.09</v>
      </c>
    </row>
    <row r="194" customFormat="false" ht="15" hidden="false" customHeight="false" outlineLevel="0" collapsed="false">
      <c r="A194" s="2" t="s">
        <v>219</v>
      </c>
      <c r="B194" s="3" t="n">
        <v>46225</v>
      </c>
      <c r="C194" s="2" t="s">
        <v>10</v>
      </c>
      <c r="D194" s="2" t="s">
        <v>43</v>
      </c>
      <c r="E194" s="2" t="s">
        <v>12</v>
      </c>
      <c r="F194" s="2" t="n">
        <v>11</v>
      </c>
      <c r="G194" s="4" t="n">
        <v>477.26</v>
      </c>
      <c r="H194" s="5" t="n">
        <v>0</v>
      </c>
      <c r="I194" s="4" t="n">
        <f aca="false">F194*G194*(1-H194)</f>
        <v>5249.86</v>
      </c>
    </row>
    <row r="195" customFormat="false" ht="15" hidden="false" customHeight="false" outlineLevel="0" collapsed="false">
      <c r="A195" s="2" t="s">
        <v>220</v>
      </c>
      <c r="B195" s="3" t="n">
        <v>46284</v>
      </c>
      <c r="C195" s="2" t="s">
        <v>14</v>
      </c>
      <c r="D195" s="2" t="s">
        <v>24</v>
      </c>
      <c r="E195" s="2" t="s">
        <v>12</v>
      </c>
      <c r="F195" s="2" t="n">
        <v>17</v>
      </c>
      <c r="G195" s="4" t="n">
        <v>455.12</v>
      </c>
      <c r="H195" s="5" t="n">
        <v>0.05</v>
      </c>
      <c r="I195" s="4" t="n">
        <f aca="false">F195*G195*(1-H195)</f>
        <v>7350.188</v>
      </c>
    </row>
    <row r="196" customFormat="false" ht="15" hidden="false" customHeight="false" outlineLevel="0" collapsed="false">
      <c r="A196" s="2" t="s">
        <v>221</v>
      </c>
      <c r="B196" s="3" t="n">
        <v>46098</v>
      </c>
      <c r="C196" s="2" t="s">
        <v>32</v>
      </c>
      <c r="D196" s="2" t="s">
        <v>15</v>
      </c>
      <c r="E196" s="2" t="s">
        <v>30</v>
      </c>
      <c r="F196" s="2" t="n">
        <v>5</v>
      </c>
      <c r="G196" s="4" t="n">
        <v>53.28</v>
      </c>
      <c r="H196" s="5" t="n">
        <v>0</v>
      </c>
      <c r="I196" s="4" t="n">
        <f aca="false">F196*G196*(1-H196)</f>
        <v>266.4</v>
      </c>
    </row>
    <row r="197" customFormat="false" ht="15" hidden="false" customHeight="false" outlineLevel="0" collapsed="false">
      <c r="A197" s="2" t="s">
        <v>222</v>
      </c>
      <c r="B197" s="3" t="n">
        <v>46061</v>
      </c>
      <c r="C197" s="2" t="s">
        <v>32</v>
      </c>
      <c r="D197" s="2" t="s">
        <v>43</v>
      </c>
      <c r="E197" s="2" t="s">
        <v>21</v>
      </c>
      <c r="F197" s="2" t="n">
        <v>16</v>
      </c>
      <c r="G197" s="4" t="n">
        <v>431.98</v>
      </c>
      <c r="H197" s="5" t="n">
        <v>0.15</v>
      </c>
      <c r="I197" s="4" t="n">
        <f aca="false">F197*G197*(1-H197)</f>
        <v>5874.928</v>
      </c>
    </row>
    <row r="198" customFormat="false" ht="15" hidden="false" customHeight="false" outlineLevel="0" collapsed="false">
      <c r="A198" s="2" t="s">
        <v>223</v>
      </c>
      <c r="B198" s="3" t="n">
        <v>46188</v>
      </c>
      <c r="C198" s="2" t="s">
        <v>10</v>
      </c>
      <c r="D198" s="2" t="s">
        <v>11</v>
      </c>
      <c r="E198" s="2" t="s">
        <v>40</v>
      </c>
      <c r="F198" s="2" t="n">
        <v>15</v>
      </c>
      <c r="G198" s="4" t="n">
        <v>33.54</v>
      </c>
      <c r="H198" s="5" t="n">
        <v>0.1</v>
      </c>
      <c r="I198" s="4" t="n">
        <f aca="false">F198*G198*(1-H198)</f>
        <v>452.79</v>
      </c>
    </row>
    <row r="199" customFormat="false" ht="15" hidden="false" customHeight="false" outlineLevel="0" collapsed="false">
      <c r="A199" s="2" t="s">
        <v>224</v>
      </c>
      <c r="B199" s="3" t="n">
        <v>46163</v>
      </c>
      <c r="C199" s="2" t="s">
        <v>14</v>
      </c>
      <c r="D199" s="2" t="s">
        <v>20</v>
      </c>
      <c r="E199" s="2" t="s">
        <v>25</v>
      </c>
      <c r="F199" s="2" t="n">
        <v>17</v>
      </c>
      <c r="G199" s="4" t="n">
        <v>155.61</v>
      </c>
      <c r="H199" s="5" t="n">
        <v>0.1</v>
      </c>
      <c r="I199" s="4" t="n">
        <f aca="false">F199*G199*(1-H199)</f>
        <v>2380.833</v>
      </c>
    </row>
    <row r="200" customFormat="false" ht="15" hidden="false" customHeight="false" outlineLevel="0" collapsed="false">
      <c r="A200" s="2" t="s">
        <v>225</v>
      </c>
      <c r="B200" s="3" t="n">
        <v>46042</v>
      </c>
      <c r="C200" s="2" t="s">
        <v>14</v>
      </c>
      <c r="D200" s="2" t="s">
        <v>20</v>
      </c>
      <c r="E200" s="2" t="s">
        <v>40</v>
      </c>
      <c r="F200" s="2" t="n">
        <v>10</v>
      </c>
      <c r="G200" s="4" t="n">
        <v>34.59</v>
      </c>
      <c r="H200" s="5" t="n">
        <v>0</v>
      </c>
      <c r="I200" s="4" t="n">
        <f aca="false">F200*G200*(1-H200)</f>
        <v>345.9</v>
      </c>
    </row>
    <row r="201" customFormat="false" ht="15" hidden="false" customHeight="false" outlineLevel="0" collapsed="false">
      <c r="A201" s="2" t="s">
        <v>226</v>
      </c>
      <c r="B201" s="3" t="n">
        <v>46259</v>
      </c>
      <c r="C201" s="2" t="s">
        <v>14</v>
      </c>
      <c r="D201" s="2" t="s">
        <v>33</v>
      </c>
      <c r="E201" s="2" t="s">
        <v>37</v>
      </c>
      <c r="F201" s="2" t="n">
        <v>19</v>
      </c>
      <c r="G201" s="4" t="n">
        <v>55.63</v>
      </c>
      <c r="H201" s="5" t="n">
        <v>0.05</v>
      </c>
      <c r="I201" s="4" t="n">
        <f aca="false">F201*G201*(1-H201)</f>
        <v>1004.1215</v>
      </c>
    </row>
  </sheetData>
  <autoFilter ref="A1:I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6" t="s">
        <v>2</v>
      </c>
      <c r="B1" s="6" t="s">
        <v>8</v>
      </c>
      <c r="C1" s="6" t="s">
        <v>227</v>
      </c>
      <c r="E1" s="7" t="s">
        <v>228</v>
      </c>
    </row>
    <row r="2" customFormat="false" ht="15" hidden="false" customHeight="false" outlineLevel="0" collapsed="false">
      <c r="A2" s="2" t="s">
        <v>14</v>
      </c>
      <c r="B2" s="8" t="n">
        <f aca="false">SUMIFS('Sales Data'!$I$2:$I$201,'Sales Data'!$C$2:$C$201,A2)</f>
        <v>180118.069</v>
      </c>
      <c r="C2" s="2" t="n">
        <f aca="false">COUNTIFS('Sales Data'!$C$2:$C$201,A2)</f>
        <v>56</v>
      </c>
    </row>
    <row r="3" customFormat="false" ht="15" hidden="false" customHeight="false" outlineLevel="0" collapsed="false">
      <c r="A3" s="2" t="s">
        <v>32</v>
      </c>
      <c r="B3" s="8" t="n">
        <f aca="false">SUMIFS('Sales Data'!$I$2:$I$201,'Sales Data'!$C$2:$C$201,A3)</f>
        <v>174084.595</v>
      </c>
      <c r="C3" s="2" t="n">
        <f aca="false">COUNTIFS('Sales Data'!$C$2:$C$201,A3)</f>
        <v>43</v>
      </c>
    </row>
    <row r="4" customFormat="false" ht="15" hidden="false" customHeight="false" outlineLevel="0" collapsed="false">
      <c r="A4" s="2" t="s">
        <v>10</v>
      </c>
      <c r="B4" s="8" t="n">
        <f aca="false">SUMIFS('Sales Data'!$I$2:$I$201,'Sales Data'!$C$2:$C$201,A4)</f>
        <v>166046.545</v>
      </c>
      <c r="C4" s="2" t="n">
        <f aca="false">COUNTIFS('Sales Data'!$C$2:$C$201,A4)</f>
        <v>43</v>
      </c>
    </row>
    <row r="5" customFormat="false" ht="15" hidden="false" customHeight="false" outlineLevel="0" collapsed="false">
      <c r="A5" s="2" t="s">
        <v>17</v>
      </c>
      <c r="B5" s="8" t="n">
        <f aca="false">SUMIFS('Sales Data'!$I$2:$I$201,'Sales Data'!$C$2:$C$201,A5)</f>
        <v>217824.971</v>
      </c>
      <c r="C5" s="2" t="n">
        <f aca="false">COUNTIFS('Sales Data'!$C$2:$C$201,A5)</f>
        <v>58</v>
      </c>
    </row>
    <row r="6" customFormat="false" ht="15" hidden="false" customHeight="false" outlineLevel="0" collapsed="false">
      <c r="A6" s="9" t="s">
        <v>229</v>
      </c>
      <c r="B6" s="10" t="n">
        <f aca="false">SUM(B2:B5)</f>
        <v>738074.18</v>
      </c>
      <c r="C6" s="9" t="n">
        <f aca="false">SUM(C2:C5)</f>
        <v>200</v>
      </c>
    </row>
    <row r="7" customFormat="false" ht="15" hidden="false" customHeight="false" outlineLevel="0" collapsed="false">
      <c r="A7" s="2"/>
      <c r="B7" s="8"/>
      <c r="C7" s="2"/>
    </row>
    <row r="8" customFormat="false" ht="15" hidden="false" customHeight="false" outlineLevel="0" collapsed="false">
      <c r="A8" s="6" t="s">
        <v>4</v>
      </c>
      <c r="B8" s="11" t="s">
        <v>8</v>
      </c>
      <c r="C8" s="6" t="s">
        <v>230</v>
      </c>
    </row>
    <row r="9" customFormat="false" ht="15" hidden="false" customHeight="false" outlineLevel="0" collapsed="false">
      <c r="A9" s="2" t="s">
        <v>18</v>
      </c>
      <c r="B9" s="8" t="n">
        <f aca="false">SUMIFS('Sales Data'!$I$2:$I$201,'Sales Data'!$E$2:$E$201,A9)</f>
        <v>215720.7865</v>
      </c>
      <c r="C9" s="2" t="n">
        <f aca="false">SUMIFS('Sales Data'!$F$2:$F$201,'Sales Data'!$E$2:$E$201,A9)</f>
        <v>208</v>
      </c>
    </row>
    <row r="10" customFormat="false" ht="15" hidden="false" customHeight="false" outlineLevel="0" collapsed="false">
      <c r="A10" s="2" t="s">
        <v>12</v>
      </c>
      <c r="B10" s="8" t="n">
        <f aca="false">SUMIFS('Sales Data'!$I$2:$I$201,'Sales Data'!$E$2:$E$201,A10)</f>
        <v>198523.82</v>
      </c>
      <c r="C10" s="2" t="n">
        <f aca="false">SUMIFS('Sales Data'!$F$2:$F$201,'Sales Data'!$E$2:$E$201,A10)</f>
        <v>320</v>
      </c>
    </row>
    <row r="11" customFormat="false" ht="15" hidden="false" customHeight="false" outlineLevel="0" collapsed="false">
      <c r="A11" s="2" t="s">
        <v>21</v>
      </c>
      <c r="B11" s="8" t="n">
        <f aca="false">SUMIFS('Sales Data'!$I$2:$I$201,'Sales Data'!$E$2:$E$201,A11)</f>
        <v>83824.445</v>
      </c>
      <c r="C11" s="2" t="n">
        <f aca="false">SUMIFS('Sales Data'!$F$2:$F$201,'Sales Data'!$E$2:$E$201,A11)</f>
        <v>195</v>
      </c>
    </row>
    <row r="12" customFormat="false" ht="15" hidden="false" customHeight="false" outlineLevel="0" collapsed="false">
      <c r="A12" s="2" t="s">
        <v>28</v>
      </c>
      <c r="B12" s="8" t="n">
        <f aca="false">SUMIFS('Sales Data'!$I$2:$I$201,'Sales Data'!$E$2:$E$201,A12)</f>
        <v>53602.0965</v>
      </c>
      <c r="C12" s="2" t="n">
        <f aca="false">SUMIFS('Sales Data'!$F$2:$F$201,'Sales Data'!$E$2:$E$201,A12)</f>
        <v>327</v>
      </c>
    </row>
    <row r="13" customFormat="false" ht="15" hidden="false" customHeight="false" outlineLevel="0" collapsed="false">
      <c r="A13" s="2" t="s">
        <v>25</v>
      </c>
      <c r="B13" s="8" t="n">
        <f aca="false">SUMIFS('Sales Data'!$I$2:$I$201,'Sales Data'!$E$2:$E$201,A13)</f>
        <v>133058.5445</v>
      </c>
      <c r="C13" s="2" t="n">
        <f aca="false">SUMIFS('Sales Data'!$F$2:$F$201,'Sales Data'!$E$2:$E$201,A13)</f>
        <v>381</v>
      </c>
    </row>
    <row r="14" customFormat="false" ht="15" hidden="false" customHeight="false" outlineLevel="0" collapsed="false">
      <c r="A14" s="2" t="s">
        <v>30</v>
      </c>
      <c r="B14" s="8" t="n">
        <f aca="false">SUMIFS('Sales Data'!$I$2:$I$201,'Sales Data'!$E$2:$E$201,A14)</f>
        <v>20742.66</v>
      </c>
      <c r="C14" s="2" t="n">
        <f aca="false">SUMIFS('Sales Data'!$F$2:$F$201,'Sales Data'!$E$2:$E$201,A14)</f>
        <v>230</v>
      </c>
    </row>
    <row r="15" customFormat="false" ht="15" hidden="false" customHeight="false" outlineLevel="0" collapsed="false">
      <c r="A15" s="2" t="s">
        <v>37</v>
      </c>
      <c r="B15" s="8" t="n">
        <f aca="false">SUMIFS('Sales Data'!$I$2:$I$201,'Sales Data'!$E$2:$E$201,A15)</f>
        <v>12519.415</v>
      </c>
      <c r="C15" s="2" t="n">
        <f aca="false">SUMIFS('Sales Data'!$F$2:$F$201,'Sales Data'!$E$2:$E$201,A15)</f>
        <v>302</v>
      </c>
    </row>
    <row r="16" customFormat="false" ht="15" hidden="false" customHeight="false" outlineLevel="0" collapsed="false">
      <c r="A16" s="2" t="s">
        <v>40</v>
      </c>
      <c r="B16" s="8" t="n">
        <f aca="false">SUMIFS('Sales Data'!$I$2:$I$201,'Sales Data'!$E$2:$E$201,A16)</f>
        <v>20082.4125</v>
      </c>
      <c r="C16" s="2" t="n">
        <f aca="false">SUMIFS('Sales Data'!$F$2:$F$201,'Sales Data'!$E$2:$E$201,A16)</f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2026-10-05T06:15:41Z</dcterms:created>
  <dc:creator>openpyxl</dc:creator>
  <dc:description/>
  <dc:language>en-US</dc:language>
  <cp:lastModifiedBy/>
  <dcterms:modified xsi:type="dcterms:W3CDTF">2026-10-05T06:15:41Z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